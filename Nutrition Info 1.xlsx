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8"/>
  <workbookPr showInkAnnotation="0"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Kay\Desktop\Richies pics\"/>
    </mc:Choice>
  </mc:AlternateContent>
  <xr:revisionPtr revIDLastSave="0" documentId="8_{AE81192C-05B5-4293-95C6-E2D4AC6622A9}" xr6:coauthVersionLast="47" xr6:coauthVersionMax="47" xr10:uidLastSave="{00000000-0000-0000-0000-000000000000}"/>
  <bookViews>
    <workbookView xWindow="-120" yWindow="-120" windowWidth="29040" windowHeight="15840" tabRatio="842" firstSheet="6" activeTab="6" xr2:uid="{00000000-000D-0000-FFFF-FFFF00000000}"/>
  </bookViews>
  <sheets>
    <sheet name="Snacks" sheetId="1" r:id="rId1"/>
    <sheet name="Spreads" sheetId="6" r:id="rId2"/>
    <sheet name="Meat" sheetId="2" r:id="rId3"/>
    <sheet name="Breakfast" sheetId="11" r:id="rId4"/>
    <sheet name="Drinks" sheetId="5" r:id="rId5"/>
    <sheet name="Dairy" sheetId="4" r:id="rId6"/>
    <sheet name="Carbohydrates" sheetId="3" r:id="rId7"/>
    <sheet name="BAD" sheetId="10" r:id="rId8"/>
    <sheet name="Every plate means" sheetId="15" r:id="rId9"/>
    <sheet name="Combos" sheetId="14" r:id="rId10"/>
    <sheet name="Meal Plan Attempt 1" sheetId="16" state="hidden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" i="14" l="1" a="1"/>
  <c r="D13" i="14"/>
  <c r="C16" i="10"/>
  <c r="C17" i="6"/>
  <c r="D151" i="3"/>
  <c r="D150" i="3"/>
  <c r="D152" i="3"/>
  <c r="D156" i="3"/>
  <c r="D155" i="3"/>
  <c r="D154" i="3"/>
  <c r="D153" i="3"/>
  <c r="D148" i="3"/>
  <c r="D149" i="3"/>
  <c r="B138" i="3"/>
  <c r="B137" i="3"/>
  <c r="B136" i="3"/>
  <c r="B135" i="3"/>
  <c r="B144" i="3"/>
  <c r="B143" i="3"/>
  <c r="B142" i="3"/>
  <c r="B141" i="3"/>
  <c r="B140" i="3"/>
  <c r="B139" i="3"/>
  <c r="B31" i="3"/>
  <c r="B30" i="3"/>
  <c r="B36" i="3"/>
  <c r="B35" i="3"/>
  <c r="B34" i="3"/>
  <c r="B33" i="3"/>
  <c r="B32" i="3"/>
  <c r="B29" i="3"/>
  <c r="B28" i="3"/>
  <c r="B27" i="3"/>
  <c r="D19" i="4"/>
  <c r="D18" i="4"/>
  <c r="B85" i="11"/>
  <c r="B84" i="11"/>
  <c r="B83" i="11"/>
  <c r="B82" i="11"/>
  <c r="B80" i="11"/>
  <c r="B79" i="11"/>
  <c r="B78" i="11"/>
  <c r="B77" i="11"/>
  <c r="B81" i="11"/>
  <c r="C90" i="11"/>
  <c r="C89" i="11"/>
  <c r="C97" i="11"/>
  <c r="C96" i="11"/>
  <c r="C95" i="11"/>
  <c r="C93" i="11"/>
  <c r="C94" i="11"/>
  <c r="B129" i="11"/>
  <c r="B128" i="11"/>
  <c r="B134" i="11"/>
  <c r="B133" i="11"/>
  <c r="B132" i="11"/>
  <c r="B131" i="11"/>
  <c r="B130" i="11"/>
  <c r="B127" i="11"/>
  <c r="B126" i="11"/>
  <c r="C151" i="10"/>
  <c r="C150" i="10"/>
  <c r="C139" i="10"/>
  <c r="C138" i="10"/>
  <c r="C127" i="10"/>
  <c r="C126" i="10"/>
  <c r="C115" i="10"/>
  <c r="C114" i="10"/>
  <c r="C103" i="10"/>
  <c r="C102" i="10"/>
  <c r="C91" i="10"/>
  <c r="C90" i="10"/>
  <c r="C156" i="10"/>
  <c r="C155" i="10"/>
  <c r="C154" i="10"/>
  <c r="C153" i="10"/>
  <c r="C152" i="10"/>
  <c r="C149" i="10"/>
  <c r="C148" i="10"/>
  <c r="C144" i="10"/>
  <c r="C143" i="10"/>
  <c r="C142" i="10"/>
  <c r="C141" i="10"/>
  <c r="C140" i="10"/>
  <c r="C137" i="10"/>
  <c r="C136" i="10"/>
  <c r="C132" i="10"/>
  <c r="C131" i="10"/>
  <c r="C130" i="10"/>
  <c r="C129" i="10"/>
  <c r="C128" i="10"/>
  <c r="C125" i="10"/>
  <c r="C124" i="10"/>
  <c r="C120" i="10"/>
  <c r="C119" i="10"/>
  <c r="C118" i="10"/>
  <c r="C117" i="10"/>
  <c r="C116" i="10"/>
  <c r="C113" i="10"/>
  <c r="C112" i="10"/>
  <c r="C108" i="10"/>
  <c r="C107" i="10"/>
  <c r="C106" i="10"/>
  <c r="C105" i="10"/>
  <c r="C104" i="10"/>
  <c r="C101" i="10"/>
  <c r="C100" i="10"/>
  <c r="C96" i="10"/>
  <c r="C95" i="10"/>
  <c r="C94" i="10"/>
  <c r="C93" i="10"/>
  <c r="C92" i="10"/>
  <c r="C89" i="10"/>
  <c r="C88" i="10"/>
  <c r="C15" i="10"/>
  <c r="C67" i="10"/>
  <c r="C66" i="10"/>
  <c r="C55" i="10"/>
  <c r="C54" i="10"/>
  <c r="C43" i="10"/>
  <c r="C42" i="10"/>
  <c r="C31" i="10"/>
  <c r="C30" i="10"/>
  <c r="C72" i="10"/>
  <c r="C71" i="10"/>
  <c r="C70" i="10"/>
  <c r="C69" i="10"/>
  <c r="C68" i="10"/>
  <c r="C65" i="10"/>
  <c r="C64" i="10"/>
  <c r="C60" i="10"/>
  <c r="C59" i="10"/>
  <c r="C58" i="10"/>
  <c r="C57" i="10"/>
  <c r="C56" i="10"/>
  <c r="C53" i="10"/>
  <c r="C52" i="10"/>
  <c r="C48" i="10"/>
  <c r="C47" i="10"/>
  <c r="C46" i="10"/>
  <c r="C45" i="10"/>
  <c r="C44" i="10"/>
  <c r="C41" i="10"/>
  <c r="C40" i="10"/>
  <c r="C36" i="10"/>
  <c r="C35" i="10"/>
  <c r="C34" i="10"/>
  <c r="C33" i="10"/>
  <c r="C32" i="10"/>
  <c r="C29" i="10"/>
  <c r="C28" i="10"/>
  <c r="C24" i="10"/>
  <c r="C23" i="10"/>
  <c r="C22" i="10"/>
  <c r="C21" i="10"/>
  <c r="C20" i="10"/>
  <c r="C17" i="10"/>
  <c r="C19" i="3"/>
  <c r="C18" i="3"/>
  <c r="C24" i="3"/>
  <c r="C23" i="3"/>
  <c r="C22" i="3"/>
  <c r="C21" i="3"/>
  <c r="C20" i="3"/>
  <c r="C17" i="3"/>
  <c r="C16" i="3"/>
  <c r="C36" i="3"/>
  <c r="C35" i="3"/>
  <c r="C34" i="3"/>
  <c r="C33" i="3"/>
  <c r="C32" i="3"/>
  <c r="C28" i="3"/>
  <c r="C29" i="3"/>
  <c r="C31" i="3"/>
  <c r="C30" i="3"/>
  <c r="D43" i="3"/>
  <c r="D42" i="3"/>
  <c r="D48" i="3"/>
  <c r="D47" i="3"/>
  <c r="D46" i="3"/>
  <c r="D45" i="3"/>
  <c r="D44" i="3"/>
  <c r="D41" i="3"/>
  <c r="D40" i="3"/>
  <c r="C43" i="3"/>
  <c r="C42" i="3"/>
  <c r="C48" i="3"/>
  <c r="C47" i="3"/>
  <c r="C46" i="3"/>
  <c r="C45" i="3"/>
  <c r="C44" i="3"/>
  <c r="C41" i="3"/>
  <c r="C40" i="3"/>
  <c r="C55" i="3"/>
  <c r="C54" i="3"/>
  <c r="C60" i="3"/>
  <c r="C59" i="3"/>
  <c r="C58" i="3"/>
  <c r="C57" i="3"/>
  <c r="C56" i="3"/>
  <c r="C53" i="3"/>
  <c r="C52" i="3"/>
  <c r="D96" i="3"/>
  <c r="D95" i="3"/>
  <c r="D94" i="3"/>
  <c r="D93" i="3"/>
  <c r="D92" i="3"/>
  <c r="D89" i="3"/>
  <c r="D88" i="3"/>
  <c r="D91" i="3"/>
  <c r="D90" i="3"/>
  <c r="D103" i="3"/>
  <c r="D102" i="3"/>
  <c r="D108" i="3"/>
  <c r="D107" i="3"/>
  <c r="D106" i="3"/>
  <c r="D105" i="3"/>
  <c r="D104" i="3"/>
  <c r="D101" i="3"/>
  <c r="D100" i="3"/>
  <c r="C91" i="3"/>
  <c r="C90" i="3"/>
  <c r="C103" i="3"/>
  <c r="C102" i="3"/>
  <c r="C96" i="3"/>
  <c r="C95" i="3"/>
  <c r="C94" i="3"/>
  <c r="C93" i="3"/>
  <c r="C92" i="3"/>
  <c r="C89" i="3"/>
  <c r="C88" i="3"/>
  <c r="C108" i="3"/>
  <c r="C107" i="3"/>
  <c r="C106" i="3"/>
  <c r="C105" i="3"/>
  <c r="C104" i="3"/>
  <c r="C101" i="3"/>
  <c r="C100" i="3"/>
  <c r="D115" i="3"/>
  <c r="D114" i="3"/>
  <c r="D120" i="3"/>
  <c r="D119" i="3"/>
  <c r="D118" i="3"/>
  <c r="D117" i="3"/>
  <c r="D116" i="3"/>
  <c r="D112" i="3"/>
  <c r="D113" i="3"/>
  <c r="E12" i="4"/>
  <c r="E11" i="4"/>
  <c r="E10" i="4"/>
  <c r="E9" i="4"/>
  <c r="E8" i="4"/>
  <c r="E5" i="4"/>
  <c r="E4" i="4"/>
  <c r="B79" i="4"/>
  <c r="B78" i="4"/>
  <c r="B84" i="4"/>
  <c r="B83" i="4"/>
  <c r="B82" i="4"/>
  <c r="B81" i="4"/>
  <c r="B80" i="4"/>
  <c r="B77" i="4"/>
  <c r="B76" i="4"/>
  <c r="C88" i="11"/>
  <c r="B88" i="11"/>
  <c r="D88" i="11"/>
  <c r="B76" i="11"/>
  <c r="C76" i="11"/>
  <c r="C91" i="11"/>
  <c r="C92" i="11"/>
  <c r="D92" i="11"/>
  <c r="D91" i="11"/>
  <c r="C80" i="11"/>
  <c r="C79" i="11"/>
  <c r="D97" i="11"/>
  <c r="D96" i="11"/>
  <c r="D95" i="11"/>
  <c r="D94" i="11"/>
  <c r="D93" i="11"/>
  <c r="D90" i="11"/>
  <c r="D89" i="11"/>
  <c r="C85" i="11"/>
  <c r="C84" i="11"/>
  <c r="C83" i="11"/>
  <c r="C82" i="11"/>
  <c r="C81" i="11"/>
  <c r="C78" i="11"/>
  <c r="C77" i="11"/>
  <c r="B92" i="11"/>
  <c r="B91" i="11"/>
  <c r="B97" i="11"/>
  <c r="B96" i="11"/>
  <c r="B95" i="11"/>
  <c r="B94" i="11"/>
  <c r="B93" i="11"/>
  <c r="B90" i="11"/>
  <c r="B89" i="11"/>
  <c r="H68" i="11"/>
  <c r="H67" i="11"/>
  <c r="H73" i="11"/>
  <c r="H72" i="11"/>
  <c r="H71" i="11"/>
  <c r="H70" i="11"/>
  <c r="H69" i="11"/>
  <c r="H66" i="11"/>
  <c r="H65" i="11"/>
  <c r="H64" i="11"/>
  <c r="H56" i="11"/>
  <c r="H55" i="11"/>
  <c r="H53" i="11"/>
  <c r="H52" i="11"/>
  <c r="F8" i="11"/>
  <c r="F7" i="11"/>
  <c r="F20" i="11"/>
  <c r="F19" i="11"/>
  <c r="F32" i="11"/>
  <c r="F31" i="11"/>
  <c r="F44" i="11"/>
  <c r="F43" i="11"/>
  <c r="F92" i="11"/>
  <c r="F91" i="11"/>
  <c r="E80" i="11"/>
  <c r="E79" i="11"/>
  <c r="F88" i="11"/>
  <c r="E76" i="11"/>
  <c r="F40" i="11"/>
  <c r="F28" i="11"/>
  <c r="F16" i="11"/>
  <c r="F4" i="11"/>
  <c r="F97" i="11"/>
  <c r="F96" i="11"/>
  <c r="F95" i="11"/>
  <c r="F94" i="11"/>
  <c r="F93" i="11"/>
  <c r="F90" i="11"/>
  <c r="F89" i="11"/>
  <c r="E85" i="11"/>
  <c r="E84" i="11"/>
  <c r="E83" i="11"/>
  <c r="E82" i="11"/>
  <c r="E81" i="11"/>
  <c r="E78" i="11"/>
  <c r="E77" i="11"/>
  <c r="F49" i="11"/>
  <c r="F48" i="11"/>
  <c r="F47" i="11"/>
  <c r="F46" i="11"/>
  <c r="F45" i="11"/>
  <c r="F42" i="11"/>
  <c r="F41" i="11"/>
  <c r="F37" i="11"/>
  <c r="F36" i="11"/>
  <c r="F35" i="11"/>
  <c r="F34" i="11"/>
  <c r="F33" i="11"/>
  <c r="F30" i="11"/>
  <c r="F29" i="11"/>
  <c r="F25" i="11"/>
  <c r="F24" i="11"/>
  <c r="F23" i="11"/>
  <c r="F22" i="11"/>
  <c r="F21" i="11"/>
  <c r="F18" i="11"/>
  <c r="F17" i="11"/>
  <c r="F13" i="11"/>
  <c r="F12" i="11"/>
  <c r="F11" i="11"/>
  <c r="F10" i="11"/>
  <c r="F9" i="11"/>
  <c r="F6" i="11"/>
  <c r="F5" i="11"/>
  <c r="D44" i="11"/>
  <c r="D43" i="11"/>
  <c r="D32" i="11"/>
  <c r="D31" i="11"/>
  <c r="D20" i="11"/>
  <c r="D19" i="11"/>
  <c r="D8" i="11"/>
  <c r="D7" i="11"/>
  <c r="D49" i="11"/>
  <c r="D48" i="11"/>
  <c r="D47" i="11"/>
  <c r="D46" i="11"/>
  <c r="D45" i="11"/>
  <c r="D42" i="11"/>
  <c r="D41" i="11"/>
  <c r="D37" i="11"/>
  <c r="D36" i="11"/>
  <c r="D35" i="11"/>
  <c r="D34" i="11"/>
  <c r="D33" i="11"/>
  <c r="D30" i="11"/>
  <c r="D29" i="11"/>
  <c r="D25" i="11"/>
  <c r="D24" i="11"/>
  <c r="D23" i="11"/>
  <c r="D22" i="11"/>
  <c r="D21" i="11"/>
  <c r="D18" i="11"/>
  <c r="D17" i="11"/>
  <c r="D13" i="11"/>
  <c r="D12" i="11"/>
  <c r="D11" i="11"/>
  <c r="D10" i="11"/>
  <c r="D9" i="11"/>
  <c r="D6" i="11"/>
  <c r="D5" i="11"/>
  <c r="C44" i="11"/>
  <c r="C43" i="11"/>
  <c r="C32" i="11"/>
  <c r="C31" i="11"/>
  <c r="C20" i="11"/>
  <c r="C19" i="11"/>
  <c r="C8" i="11"/>
  <c r="C7" i="11"/>
  <c r="C49" i="11"/>
  <c r="C48" i="11"/>
  <c r="C47" i="11"/>
  <c r="C46" i="11"/>
  <c r="C45" i="11"/>
  <c r="C42" i="11"/>
  <c r="C41" i="11"/>
  <c r="C37" i="11"/>
  <c r="C36" i="11"/>
  <c r="C35" i="11"/>
  <c r="C34" i="11"/>
  <c r="C33" i="11"/>
  <c r="C30" i="11"/>
  <c r="C29" i="11"/>
  <c r="C25" i="11"/>
  <c r="C24" i="11"/>
  <c r="C23" i="11"/>
  <c r="C22" i="11"/>
  <c r="C21" i="11"/>
  <c r="C18" i="11"/>
  <c r="C17" i="11"/>
  <c r="C13" i="11"/>
  <c r="C12" i="11"/>
  <c r="C11" i="11"/>
  <c r="C10" i="11"/>
  <c r="C9" i="11"/>
  <c r="C6" i="11"/>
  <c r="C40" i="11"/>
  <c r="C28" i="11"/>
  <c r="C16" i="11"/>
  <c r="C4" i="11"/>
  <c r="C5" i="11"/>
  <c r="B44" i="11"/>
  <c r="B43" i="11"/>
  <c r="B32" i="11"/>
  <c r="B31" i="11"/>
  <c r="B20" i="11"/>
  <c r="B19" i="11"/>
  <c r="B8" i="11"/>
  <c r="B7" i="11"/>
  <c r="B49" i="11"/>
  <c r="B48" i="11"/>
  <c r="B47" i="11"/>
  <c r="B46" i="11"/>
  <c r="B45" i="11"/>
  <c r="B42" i="11"/>
  <c r="B41" i="11"/>
  <c r="B37" i="11"/>
  <c r="B36" i="11"/>
  <c r="B35" i="11"/>
  <c r="B34" i="11"/>
  <c r="B33" i="11"/>
  <c r="B30" i="11"/>
  <c r="B29" i="11"/>
  <c r="B25" i="11"/>
  <c r="B24" i="11"/>
  <c r="B23" i="11"/>
  <c r="B22" i="11"/>
  <c r="B21" i="11"/>
  <c r="B18" i="11"/>
  <c r="B17" i="11"/>
  <c r="B13" i="11"/>
  <c r="B12" i="11"/>
  <c r="B11" i="11"/>
  <c r="B10" i="11"/>
  <c r="B9" i="11"/>
  <c r="B6" i="11"/>
  <c r="B5" i="11"/>
  <c r="E64" i="11"/>
  <c r="D64" i="11"/>
  <c r="D68" i="11"/>
  <c r="E68" i="11"/>
  <c r="D67" i="11"/>
  <c r="E67" i="11"/>
  <c r="D73" i="11"/>
  <c r="E73" i="11"/>
  <c r="D72" i="11"/>
  <c r="E72" i="11"/>
  <c r="D71" i="11"/>
  <c r="E71" i="11"/>
  <c r="D70" i="11"/>
  <c r="E70" i="11"/>
  <c r="D69" i="11"/>
  <c r="E69" i="11"/>
  <c r="D66" i="11"/>
  <c r="E66" i="11"/>
  <c r="D65" i="11"/>
  <c r="E65" i="11"/>
  <c r="B68" i="11"/>
  <c r="B67" i="11"/>
  <c r="B69" i="11"/>
  <c r="B73" i="11"/>
  <c r="B72" i="11"/>
  <c r="B71" i="11"/>
  <c r="B70" i="11"/>
  <c r="B66" i="11"/>
  <c r="B65" i="11"/>
  <c r="B56" i="11"/>
  <c r="B55" i="11"/>
  <c r="B61" i="11"/>
  <c r="B60" i="11"/>
  <c r="B59" i="11"/>
  <c r="B58" i="11"/>
  <c r="B57" i="11"/>
  <c r="B54" i="11"/>
  <c r="B53" i="11"/>
  <c r="C56" i="11"/>
  <c r="C55" i="11"/>
  <c r="C61" i="11"/>
  <c r="C60" i="11"/>
  <c r="C59" i="11"/>
  <c r="C58" i="11"/>
  <c r="C57" i="11"/>
  <c r="C54" i="11"/>
  <c r="C53" i="11"/>
  <c r="B52" i="11"/>
  <c r="C52" i="11"/>
  <c r="E52" i="11"/>
  <c r="E56" i="11"/>
  <c r="E55" i="11"/>
  <c r="E61" i="11"/>
  <c r="H61" i="11"/>
  <c r="E60" i="11"/>
  <c r="H60" i="11"/>
  <c r="E59" i="11"/>
  <c r="H59" i="11"/>
  <c r="E58" i="11"/>
  <c r="H58" i="11"/>
  <c r="E57" i="11"/>
  <c r="H57" i="11"/>
  <c r="E54" i="11"/>
  <c r="E53" i="11"/>
  <c r="D40" i="11"/>
  <c r="B40" i="11"/>
  <c r="D28" i="11"/>
  <c r="B28" i="11"/>
  <c r="D16" i="11"/>
  <c r="B16" i="11"/>
  <c r="D4" i="11"/>
  <c r="B4" i="11"/>
  <c r="H79" i="11"/>
  <c r="E134" i="11"/>
  <c r="E133" i="11"/>
  <c r="E132" i="11"/>
  <c r="E131" i="11"/>
  <c r="E130" i="11"/>
  <c r="E127" i="11"/>
  <c r="E126" i="11"/>
  <c r="E122" i="11"/>
  <c r="E121" i="11"/>
  <c r="E120" i="11"/>
  <c r="E119" i="11"/>
  <c r="E118" i="11"/>
  <c r="E115" i="11"/>
  <c r="E114" i="11"/>
  <c r="E117" i="11"/>
  <c r="E116" i="11"/>
  <c r="D117" i="11"/>
  <c r="D116" i="11"/>
  <c r="D122" i="11"/>
  <c r="D121" i="11"/>
  <c r="D120" i="11"/>
  <c r="D119" i="11"/>
  <c r="D115" i="11"/>
  <c r="C105" i="11"/>
  <c r="C104" i="11"/>
  <c r="C110" i="11"/>
  <c r="C109" i="11"/>
  <c r="C108" i="11"/>
  <c r="C107" i="11"/>
  <c r="C106" i="11"/>
  <c r="C103" i="11"/>
  <c r="C102" i="11"/>
  <c r="C122" i="11"/>
  <c r="C121" i="11"/>
  <c r="C120" i="11"/>
  <c r="C119" i="11"/>
  <c r="C118" i="11"/>
  <c r="C115" i="11"/>
  <c r="C114" i="11"/>
  <c r="D114" i="11"/>
  <c r="C117" i="11"/>
  <c r="C116" i="11"/>
  <c r="E4" i="2"/>
  <c r="E5" i="2"/>
  <c r="E12" i="2"/>
  <c r="E11" i="2"/>
  <c r="E10" i="2"/>
  <c r="E9" i="2"/>
  <c r="E8" i="2"/>
  <c r="E7" i="2"/>
  <c r="E6" i="2"/>
  <c r="D7" i="2"/>
  <c r="D6" i="2"/>
  <c r="D19" i="2"/>
  <c r="D18" i="2"/>
  <c r="D31" i="2"/>
  <c r="D30" i="2"/>
  <c r="D36" i="2"/>
  <c r="D35" i="2"/>
  <c r="D34" i="2"/>
  <c r="D33" i="2"/>
  <c r="D32" i="2"/>
  <c r="D29" i="2"/>
  <c r="D28" i="2"/>
  <c r="D24" i="2"/>
  <c r="D23" i="2"/>
  <c r="D22" i="2"/>
  <c r="D21" i="2"/>
  <c r="D20" i="2"/>
  <c r="D17" i="2"/>
  <c r="D16" i="2"/>
  <c r="D12" i="2"/>
  <c r="D11" i="2"/>
  <c r="D10" i="2"/>
  <c r="D9" i="2"/>
  <c r="D8" i="2"/>
  <c r="D5" i="2"/>
  <c r="D4" i="2"/>
  <c r="A33" i="2"/>
  <c r="C31" i="2"/>
  <c r="C30" i="2"/>
  <c r="C19" i="2"/>
  <c r="C18" i="2"/>
  <c r="C7" i="2"/>
  <c r="C6" i="2"/>
  <c r="C36" i="2"/>
  <c r="C35" i="2"/>
  <c r="C34" i="2"/>
  <c r="C33" i="2"/>
  <c r="C32" i="2"/>
  <c r="C29" i="2"/>
  <c r="C28" i="2"/>
  <c r="C24" i="2"/>
  <c r="C23" i="2"/>
  <c r="C22" i="2"/>
  <c r="C21" i="2"/>
  <c r="C20" i="2"/>
  <c r="C17" i="2"/>
  <c r="C16" i="2"/>
  <c r="C12" i="2"/>
  <c r="C11" i="2"/>
  <c r="C10" i="2"/>
  <c r="C9" i="2"/>
  <c r="C8" i="2"/>
  <c r="C5" i="2"/>
  <c r="C4" i="2"/>
  <c r="D12" i="6"/>
  <c r="D11" i="6"/>
  <c r="D10" i="6"/>
  <c r="D9" i="6"/>
  <c r="D8" i="6"/>
  <c r="D5" i="6"/>
  <c r="D4" i="6"/>
  <c r="D6" i="6"/>
  <c r="D7" i="6"/>
  <c r="C7" i="6"/>
  <c r="C6" i="6"/>
  <c r="C19" i="6"/>
  <c r="C18" i="6"/>
  <c r="C31" i="6"/>
  <c r="C30" i="6"/>
  <c r="C5" i="6"/>
  <c r="C4" i="6"/>
  <c r="C12" i="6"/>
  <c r="C11" i="6"/>
  <c r="C10" i="6"/>
  <c r="C9" i="6"/>
  <c r="C8" i="6"/>
  <c r="C16" i="6"/>
  <c r="C24" i="6"/>
  <c r="C23" i="6"/>
  <c r="C22" i="6"/>
  <c r="C21" i="6"/>
  <c r="C20" i="6"/>
  <c r="C29" i="6"/>
  <c r="C28" i="6"/>
  <c r="C36" i="6"/>
  <c r="C35" i="6"/>
  <c r="C34" i="6"/>
  <c r="C33" i="6"/>
  <c r="C32" i="6"/>
  <c r="C60" i="6"/>
  <c r="C59" i="6"/>
  <c r="C58" i="6"/>
  <c r="C57" i="6"/>
  <c r="C56" i="6"/>
  <c r="C53" i="6"/>
  <c r="C52" i="6"/>
  <c r="C55" i="6"/>
  <c r="C54" i="6"/>
  <c r="C43" i="6"/>
  <c r="C42" i="6"/>
  <c r="C48" i="6"/>
  <c r="C47" i="6"/>
  <c r="C46" i="6"/>
  <c r="C45" i="6"/>
  <c r="C44" i="6"/>
  <c r="C41" i="6"/>
  <c r="C40" i="6"/>
  <c r="C5" i="1"/>
  <c r="C4" i="1"/>
  <c r="C12" i="1"/>
  <c r="C11" i="1"/>
  <c r="C10" i="1"/>
  <c r="C9" i="1"/>
  <c r="C8" i="1"/>
  <c r="C7" i="1"/>
  <c r="C6" i="1"/>
  <c r="C19" i="1"/>
  <c r="C18" i="1"/>
  <c r="C24" i="1"/>
  <c r="C23" i="1"/>
  <c r="C22" i="1"/>
  <c r="C21" i="1"/>
  <c r="C20" i="1"/>
  <c r="C17" i="1"/>
  <c r="C16" i="1"/>
  <c r="C29" i="1"/>
  <c r="C28" i="1"/>
  <c r="C36" i="1"/>
  <c r="C35" i="1"/>
  <c r="C34" i="1"/>
  <c r="C33" i="1"/>
  <c r="C32" i="1"/>
  <c r="C31" i="1"/>
  <c r="C30" i="1"/>
  <c r="C43" i="1"/>
  <c r="C42" i="1"/>
  <c r="C41" i="1"/>
  <c r="C40" i="1"/>
  <c r="C47" i="1"/>
  <c r="C46" i="1"/>
  <c r="C45" i="1"/>
  <c r="C44" i="1"/>
  <c r="C48" i="1"/>
  <c r="C164" i="1"/>
  <c r="C162" i="1"/>
  <c r="C163" i="1"/>
  <c r="C168" i="1"/>
  <c r="C167" i="1"/>
  <c r="C166" i="1"/>
  <c r="C165" i="1"/>
  <c r="C161" i="1"/>
  <c r="C160" i="1"/>
  <c r="F79" i="4"/>
  <c r="I8" i="11"/>
  <c r="F78" i="4"/>
  <c r="F84" i="4"/>
  <c r="F83" i="4"/>
  <c r="I48" i="11"/>
  <c r="F82" i="4"/>
  <c r="F81" i="4"/>
  <c r="F80" i="4"/>
  <c r="F77" i="4"/>
  <c r="I42" i="11"/>
  <c r="F76" i="4"/>
  <c r="C78" i="4"/>
  <c r="E78" i="4"/>
  <c r="C79" i="4"/>
  <c r="E79" i="4"/>
  <c r="C84" i="4"/>
  <c r="E84" i="4"/>
  <c r="C83" i="4"/>
  <c r="E83" i="4"/>
  <c r="C82" i="4"/>
  <c r="E82" i="4"/>
  <c r="C81" i="4"/>
  <c r="E81" i="4"/>
  <c r="C80" i="4"/>
  <c r="E80" i="4"/>
  <c r="C77" i="4"/>
  <c r="E77" i="4"/>
  <c r="C76" i="4"/>
  <c r="E76" i="4"/>
  <c r="D72" i="4"/>
  <c r="D71" i="4"/>
  <c r="D70" i="4"/>
  <c r="D69" i="4"/>
  <c r="D68" i="4"/>
  <c r="D64" i="4"/>
  <c r="D65" i="4"/>
  <c r="D67" i="4"/>
  <c r="D66" i="4"/>
  <c r="C66" i="4"/>
  <c r="C67" i="4"/>
  <c r="C72" i="4"/>
  <c r="C71" i="4"/>
  <c r="C70" i="4"/>
  <c r="C65" i="4"/>
  <c r="C64" i="4"/>
  <c r="C69" i="4"/>
  <c r="C68" i="4"/>
  <c r="C43" i="4"/>
  <c r="C42" i="4"/>
  <c r="C31" i="4"/>
  <c r="C30" i="4"/>
  <c r="C48" i="4"/>
  <c r="C47" i="4"/>
  <c r="C46" i="4"/>
  <c r="C45" i="4"/>
  <c r="C44" i="4"/>
  <c r="C41" i="4"/>
  <c r="C40" i="4"/>
  <c r="C36" i="4"/>
  <c r="C35" i="4"/>
  <c r="C34" i="4"/>
  <c r="C33" i="4"/>
  <c r="C32" i="4"/>
  <c r="C29" i="4"/>
  <c r="C28" i="4"/>
  <c r="D24" i="4"/>
  <c r="D23" i="4"/>
  <c r="D22" i="4"/>
  <c r="D21" i="4"/>
  <c r="D20" i="4"/>
  <c r="D17" i="4"/>
  <c r="D16" i="4"/>
  <c r="C19" i="4"/>
  <c r="C18" i="4"/>
  <c r="C24" i="4"/>
  <c r="C23" i="4"/>
  <c r="C22" i="4"/>
  <c r="C21" i="4"/>
  <c r="C20" i="4"/>
  <c r="C17" i="4"/>
  <c r="C16" i="4"/>
  <c r="C7" i="4"/>
  <c r="C12" i="4"/>
  <c r="C11" i="4"/>
  <c r="C10" i="4"/>
  <c r="C9" i="4"/>
  <c r="C8" i="4"/>
  <c r="D5" i="4"/>
  <c r="D12" i="4"/>
  <c r="D11" i="4"/>
  <c r="D10" i="4"/>
  <c r="D9" i="4"/>
  <c r="D8" i="4"/>
  <c r="C5" i="4"/>
  <c r="C3" i="4"/>
  <c r="C6" i="4"/>
  <c r="D6" i="4"/>
  <c r="E7" i="4"/>
  <c r="E6" i="4"/>
  <c r="D7" i="4"/>
  <c r="D3" i="6"/>
  <c r="C156" i="3"/>
  <c r="C155" i="3"/>
  <c r="C154" i="3"/>
  <c r="C153" i="3"/>
  <c r="C152" i="3"/>
  <c r="C151" i="3"/>
  <c r="C150" i="3"/>
  <c r="C149" i="3"/>
  <c r="C148" i="3"/>
  <c r="C147" i="3"/>
  <c r="D147" i="3"/>
  <c r="D135" i="3"/>
  <c r="D144" i="3"/>
  <c r="D143" i="3"/>
  <c r="D142" i="3"/>
  <c r="D141" i="3"/>
  <c r="D140" i="3"/>
  <c r="D137" i="3"/>
  <c r="D136" i="3"/>
  <c r="D139" i="3"/>
  <c r="D138" i="3"/>
  <c r="B19" i="16"/>
  <c r="B18" i="16"/>
  <c r="B24" i="16"/>
  <c r="B23" i="16"/>
  <c r="B22" i="16"/>
  <c r="B21" i="16"/>
  <c r="B20" i="16"/>
  <c r="B17" i="16"/>
  <c r="B16" i="16"/>
  <c r="B15" i="16"/>
  <c r="D129" i="11"/>
  <c r="E129" i="11"/>
  <c r="D128" i="11"/>
  <c r="E128" i="11"/>
  <c r="D127" i="11"/>
  <c r="D134" i="11"/>
  <c r="D133" i="11"/>
  <c r="D132" i="11"/>
  <c r="D131" i="11"/>
  <c r="D130" i="11"/>
  <c r="D126" i="11"/>
  <c r="D125" i="11"/>
  <c r="B125" i="11"/>
  <c r="E125" i="11"/>
  <c r="C113" i="11"/>
  <c r="D113" i="11"/>
  <c r="E113" i="11"/>
  <c r="D118" i="11"/>
  <c r="D31" i="14" a="1"/>
  <c r="D31" i="14"/>
  <c r="C115" i="3"/>
  <c r="C114" i="3"/>
  <c r="C120" i="3"/>
  <c r="C119" i="3"/>
  <c r="C118" i="3"/>
  <c r="C117" i="3"/>
  <c r="C116" i="3"/>
  <c r="C113" i="3"/>
  <c r="C112" i="3"/>
  <c r="C111" i="3"/>
  <c r="D111" i="3"/>
  <c r="D3" i="3"/>
  <c r="C12" i="3"/>
  <c r="C11" i="3"/>
  <c r="C10" i="3"/>
  <c r="C9" i="3"/>
  <c r="C8" i="3"/>
  <c r="C4" i="3"/>
  <c r="C5" i="3"/>
  <c r="C6" i="3"/>
  <c r="D6" i="3"/>
  <c r="C7" i="3"/>
  <c r="D7" i="3"/>
  <c r="D12" i="3"/>
  <c r="D11" i="3"/>
  <c r="D10" i="3"/>
  <c r="D9" i="3"/>
  <c r="D8" i="3"/>
  <c r="D5" i="3"/>
  <c r="D4" i="3"/>
  <c r="E4" i="3"/>
  <c r="E11" i="3"/>
  <c r="E10" i="3"/>
  <c r="E9" i="3"/>
  <c r="E8" i="3"/>
  <c r="E12" i="3"/>
  <c r="E5" i="3"/>
  <c r="E7" i="3"/>
  <c r="E6" i="3"/>
  <c r="C18" i="10"/>
  <c r="C19" i="10"/>
  <c r="D99" i="3"/>
  <c r="C99" i="3"/>
  <c r="C216" i="10"/>
  <c r="C215" i="10"/>
  <c r="C214" i="10"/>
  <c r="C213" i="10"/>
  <c r="C212" i="10"/>
  <c r="C209" i="10"/>
  <c r="C208" i="10"/>
  <c r="C211" i="10"/>
  <c r="C210" i="10"/>
  <c r="C207" i="10"/>
  <c r="H76" i="11"/>
  <c r="B64" i="11"/>
  <c r="B75" i="4"/>
  <c r="C75" i="4"/>
  <c r="H95" i="11"/>
  <c r="H54" i="11"/>
  <c r="H45" i="11"/>
  <c r="H43" i="11"/>
  <c r="H35" i="11"/>
  <c r="H33" i="11"/>
  <c r="H28" i="11"/>
  <c r="D87" i="3"/>
  <c r="C87" i="3"/>
  <c r="C3" i="6"/>
  <c r="C15" i="6"/>
  <c r="C27" i="6"/>
  <c r="C39" i="6"/>
  <c r="C51" i="6"/>
  <c r="C15" i="3"/>
  <c r="D39" i="3"/>
  <c r="C39" i="3"/>
  <c r="E3" i="3"/>
  <c r="C3" i="3"/>
  <c r="D63" i="4"/>
  <c r="C63" i="4"/>
  <c r="C4" i="4"/>
  <c r="D4" i="4"/>
  <c r="C101" i="11"/>
  <c r="C111" i="10"/>
  <c r="C135" i="10"/>
  <c r="C123" i="10"/>
  <c r="C99" i="10"/>
  <c r="C147" i="10"/>
  <c r="C87" i="10"/>
  <c r="C63" i="10"/>
  <c r="C51" i="10"/>
  <c r="C39" i="10"/>
  <c r="C27" i="10"/>
  <c r="C51" i="3"/>
  <c r="C27" i="3"/>
  <c r="C39" i="4"/>
  <c r="C27" i="4"/>
  <c r="D15" i="4"/>
  <c r="C15" i="4"/>
  <c r="E75" i="4"/>
  <c r="F75" i="4"/>
  <c r="I52" i="11"/>
  <c r="E3" i="4"/>
  <c r="D3" i="4"/>
  <c r="C27" i="2"/>
  <c r="D27" i="2"/>
  <c r="D15" i="2"/>
  <c r="C15" i="2"/>
  <c r="E3" i="2"/>
  <c r="C3" i="2"/>
  <c r="D3" i="2"/>
  <c r="C159" i="1"/>
  <c r="C39" i="1"/>
  <c r="C27" i="1"/>
  <c r="C15" i="1"/>
  <c r="C3" i="1"/>
  <c r="H48" i="11"/>
  <c r="E22" i="14" a="1"/>
  <c r="E22" i="14"/>
  <c r="C22" i="14"/>
  <c r="L7" i="14" a="1"/>
  <c r="L7" i="14"/>
  <c r="G22" i="14" a="1"/>
  <c r="G22" i="14"/>
  <c r="F22" i="14" a="1"/>
  <c r="F22" i="14"/>
  <c r="F17" i="14" a="1"/>
  <c r="F17" i="14"/>
  <c r="L22" i="14" a="1"/>
  <c r="L22" i="14"/>
  <c r="K22" i="14" a="1"/>
  <c r="K22" i="14"/>
  <c r="J22" i="14" a="1"/>
  <c r="J22" i="14"/>
  <c r="I22" i="14" a="1"/>
  <c r="I22" i="14"/>
  <c r="H22" i="14" a="1"/>
  <c r="H22" i="14"/>
  <c r="D22" i="14" a="1"/>
  <c r="D22" i="14"/>
  <c r="F26" i="14" a="1"/>
  <c r="F26" i="14"/>
  <c r="G26" i="14" a="1"/>
  <c r="G26" i="14"/>
  <c r="C26" i="14"/>
  <c r="D26" i="14" a="1"/>
  <c r="D26" i="14"/>
  <c r="E26" i="14" a="1"/>
  <c r="E26" i="14"/>
  <c r="H26" i="14" a="1"/>
  <c r="H26" i="14"/>
  <c r="I26" i="14" a="1"/>
  <c r="I26" i="14"/>
  <c r="J26" i="14" a="1"/>
  <c r="J26" i="14"/>
  <c r="K26" i="14" a="1"/>
  <c r="K26" i="14"/>
  <c r="L26" i="14" a="1"/>
  <c r="L26" i="14"/>
  <c r="C31" i="14"/>
  <c r="E31" i="14" a="1"/>
  <c r="E31" i="14"/>
  <c r="F31" i="14" a="1"/>
  <c r="F31" i="14"/>
  <c r="G31" i="14" a="1"/>
  <c r="G31" i="14"/>
  <c r="H31" i="14" a="1"/>
  <c r="H31" i="14"/>
  <c r="I31" i="14" a="1"/>
  <c r="I31" i="14"/>
  <c r="J31" i="14" a="1"/>
  <c r="J31" i="14"/>
  <c r="K31" i="14" a="1"/>
  <c r="K31" i="14"/>
  <c r="L31" i="14" a="1"/>
  <c r="L31" i="14"/>
  <c r="G17" i="14" a="1"/>
  <c r="G17" i="14"/>
  <c r="L17" i="14" a="1"/>
  <c r="L17" i="14"/>
  <c r="K17" i="14" a="1"/>
  <c r="K17" i="14"/>
  <c r="J17" i="14" a="1"/>
  <c r="J17" i="14"/>
  <c r="I17" i="14" a="1"/>
  <c r="I17" i="14"/>
  <c r="H17" i="14" a="1"/>
  <c r="H17" i="14"/>
  <c r="E17" i="14" a="1"/>
  <c r="E17" i="14"/>
  <c r="D17" i="14" a="1"/>
  <c r="D17" i="14"/>
  <c r="C17" i="14"/>
  <c r="G7" i="14" a="1"/>
  <c r="G7" i="14"/>
  <c r="F7" i="14" a="1"/>
  <c r="F7" i="14"/>
  <c r="K7" i="14" a="1"/>
  <c r="K7" i="14"/>
  <c r="J7" i="14" a="1"/>
  <c r="J7" i="14"/>
  <c r="I7" i="14" a="1"/>
  <c r="I7" i="14"/>
  <c r="H7" i="14" a="1"/>
  <c r="H7" i="14"/>
  <c r="E7" i="14" a="1"/>
  <c r="E7" i="14"/>
  <c r="D7" i="14" a="1"/>
  <c r="D7" i="14"/>
  <c r="C11" i="14"/>
  <c r="C10" i="14"/>
  <c r="C9" i="14"/>
  <c r="C8" i="14"/>
  <c r="C13" i="14"/>
  <c r="E13" i="14" a="1"/>
  <c r="E13" i="14"/>
  <c r="F13" i="14" a="1"/>
  <c r="F13" i="14"/>
  <c r="G13" i="14" a="1"/>
  <c r="G13" i="14"/>
  <c r="H13" i="14" a="1"/>
  <c r="H13" i="14"/>
  <c r="I13" i="14" a="1"/>
  <c r="I13" i="14"/>
  <c r="J13" i="14" a="1"/>
  <c r="J13" i="14"/>
  <c r="K13" i="14" a="1"/>
  <c r="K13" i="14"/>
  <c r="L13" i="14" a="1"/>
  <c r="L13" i="14"/>
  <c r="L2" i="14" a="1"/>
  <c r="L2" i="14"/>
  <c r="K2" i="14" a="1"/>
  <c r="K2" i="14"/>
  <c r="J2" i="14" a="1"/>
  <c r="J2" i="14"/>
  <c r="I2" i="14" a="1"/>
  <c r="I2" i="14"/>
  <c r="H2" i="14" a="1"/>
  <c r="H2" i="14"/>
  <c r="C2" i="14"/>
  <c r="G2" i="14" a="1"/>
  <c r="G2" i="14"/>
  <c r="F2" i="14" a="1"/>
  <c r="F2" i="14"/>
  <c r="E2" i="14" a="1"/>
  <c r="E2" i="14"/>
  <c r="D2" i="14" a="1"/>
  <c r="D2" i="14"/>
  <c r="I70" i="11"/>
  <c r="I53" i="11"/>
  <c r="I59" i="11"/>
  <c r="I56" i="11"/>
  <c r="I46" i="11"/>
  <c r="I43" i="11"/>
  <c r="I19" i="11"/>
  <c r="I4" i="11"/>
  <c r="I20" i="11"/>
  <c r="I32" i="11"/>
  <c r="I22" i="11"/>
  <c r="I29" i="11"/>
  <c r="I35" i="11"/>
  <c r="I64" i="11"/>
  <c r="I17" i="11"/>
  <c r="I23" i="11"/>
  <c r="I45" i="11"/>
  <c r="I49" i="11"/>
  <c r="I73" i="11"/>
  <c r="I69" i="11"/>
  <c r="I55" i="11"/>
  <c r="I5" i="11"/>
  <c r="I11" i="11"/>
  <c r="I58" i="11"/>
  <c r="I67" i="11"/>
  <c r="I9" i="11"/>
  <c r="I13" i="11"/>
  <c r="I30" i="11"/>
  <c r="I36" i="11"/>
  <c r="I40" i="11"/>
  <c r="I54" i="11"/>
  <c r="I60" i="11"/>
  <c r="I65" i="11"/>
  <c r="I71" i="11"/>
  <c r="I68" i="11"/>
  <c r="I10" i="11"/>
  <c r="I7" i="11"/>
  <c r="I18" i="11"/>
  <c r="I24" i="11"/>
  <c r="I16" i="11"/>
  <c r="I33" i="11"/>
  <c r="I37" i="11"/>
  <c r="I41" i="11"/>
  <c r="I47" i="11"/>
  <c r="I44" i="11"/>
  <c r="I57" i="11"/>
  <c r="I61" i="11"/>
  <c r="I66" i="11"/>
  <c r="I72" i="11"/>
  <c r="I6" i="11"/>
  <c r="I12" i="11"/>
  <c r="I21" i="11"/>
  <c r="I25" i="11"/>
  <c r="I28" i="11"/>
  <c r="I34" i="11"/>
  <c r="I31" i="11"/>
  <c r="H82" i="11"/>
  <c r="H83" i="11"/>
  <c r="H47" i="11"/>
  <c r="C7" i="14"/>
  <c r="H89" i="11"/>
  <c r="H93" i="11"/>
  <c r="H84" i="11"/>
  <c r="H92" i="11"/>
  <c r="H77" i="11"/>
  <c r="H81" i="11"/>
  <c r="H88" i="11"/>
  <c r="H40" i="11"/>
  <c r="H96" i="11"/>
  <c r="H34" i="11"/>
  <c r="H6" i="11"/>
  <c r="H30" i="11"/>
  <c r="H85" i="11"/>
  <c r="H78" i="11"/>
  <c r="H44" i="11"/>
  <c r="H90" i="11"/>
  <c r="H32" i="11"/>
  <c r="H16" i="11"/>
  <c r="H7" i="11"/>
  <c r="H19" i="11"/>
  <c r="H49" i="11"/>
  <c r="H94" i="11"/>
  <c r="H41" i="11"/>
  <c r="H36" i="11"/>
  <c r="H8" i="11"/>
  <c r="H11" i="11"/>
  <c r="H12" i="11"/>
  <c r="H24" i="11"/>
  <c r="H17" i="11"/>
  <c r="H25" i="11"/>
  <c r="H10" i="11"/>
  <c r="H5" i="11"/>
  <c r="H42" i="11"/>
  <c r="H80" i="11"/>
  <c r="H91" i="11"/>
  <c r="H20" i="11"/>
  <c r="H46" i="11"/>
  <c r="H97" i="11"/>
  <c r="H37" i="11"/>
  <c r="H29" i="11"/>
  <c r="H31" i="11"/>
  <c r="H23" i="11"/>
  <c r="H21" i="11"/>
  <c r="H13" i="11"/>
  <c r="H18" i="11"/>
  <c r="H22" i="11"/>
  <c r="H9" i="11"/>
  <c r="H4" i="1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<sst xmlns="http://schemas.openxmlformats.org/spreadsheetml/2006/main" count="3086" uniqueCount="469">
  <si>
    <t>Dark Chocolate Chunk Granola Bar</t>
  </si>
  <si>
    <t>Serving Size</t>
  </si>
  <si>
    <t>1 bar</t>
  </si>
  <si>
    <t>2 Bars</t>
  </si>
  <si>
    <t>Calories</t>
  </si>
  <si>
    <t>Fat</t>
  </si>
  <si>
    <t>2g</t>
  </si>
  <si>
    <t xml:space="preserve">Saturated Fat </t>
  </si>
  <si>
    <t>0.5g</t>
  </si>
  <si>
    <t xml:space="preserve">Cholesterol </t>
  </si>
  <si>
    <t>80mg</t>
  </si>
  <si>
    <t xml:space="preserve">Sodium </t>
  </si>
  <si>
    <t>19mg</t>
  </si>
  <si>
    <t xml:space="preserve">Carbohydrates </t>
  </si>
  <si>
    <t>1g</t>
  </si>
  <si>
    <t>Fiber</t>
  </si>
  <si>
    <t>7g</t>
  </si>
  <si>
    <t>Sugar</t>
  </si>
  <si>
    <t>Added Suger</t>
  </si>
  <si>
    <t>Protein</t>
  </si>
  <si>
    <t>Peanut Butter Chocolate Chip Granola Bar</t>
  </si>
  <si>
    <t>2 bars</t>
  </si>
  <si>
    <t>3g</t>
  </si>
  <si>
    <t>0mg</t>
  </si>
  <si>
    <t>95mg</t>
  </si>
  <si>
    <t>Carbohydrates</t>
  </si>
  <si>
    <t>17g</t>
  </si>
  <si>
    <t>Added Sugar</t>
  </si>
  <si>
    <t>Chocolate Chip Granola Bar</t>
  </si>
  <si>
    <t>3.5g</t>
  </si>
  <si>
    <t>1.5g</t>
  </si>
  <si>
    <t>70mg</t>
  </si>
  <si>
    <t>Planters Honey Roasted Peanuts</t>
  </si>
  <si>
    <t>1 ounce</t>
  </si>
  <si>
    <t>2 ounces</t>
  </si>
  <si>
    <t>13g</t>
  </si>
  <si>
    <t>85mg</t>
  </si>
  <si>
    <t>4g</t>
  </si>
  <si>
    <t>Dark Chocolate Mocha Cliff Coffee Bar</t>
  </si>
  <si>
    <t>5g</t>
  </si>
  <si>
    <t>260mg</t>
  </si>
  <si>
    <t>44g</t>
  </si>
  <si>
    <t>19g</t>
  </si>
  <si>
    <t>18g</t>
  </si>
  <si>
    <t>9g</t>
  </si>
  <si>
    <t>Caramel Macchiato Cliff Coffee Bar</t>
  </si>
  <si>
    <t xml:space="preserve">Serving Size </t>
  </si>
  <si>
    <t xml:space="preserve">Calories </t>
  </si>
  <si>
    <t>4.5g</t>
  </si>
  <si>
    <t>Sodium</t>
  </si>
  <si>
    <t>230mg</t>
  </si>
  <si>
    <t>45g</t>
  </si>
  <si>
    <t>Sugars</t>
  </si>
  <si>
    <t>20g</t>
  </si>
  <si>
    <t>Vanilla Almond Latte Cliff Coffee Bar</t>
  </si>
  <si>
    <t>Claories</t>
  </si>
  <si>
    <t>6g</t>
  </si>
  <si>
    <t xml:space="preserve">Saturated </t>
  </si>
  <si>
    <t>220mg</t>
  </si>
  <si>
    <t>43g</t>
  </si>
  <si>
    <t xml:space="preserve">Added Sugar </t>
  </si>
  <si>
    <t>Doritos Nacho Cheese Chips</t>
  </si>
  <si>
    <t>1 oz(28g/About 12 chips)</t>
  </si>
  <si>
    <t>8g</t>
  </si>
  <si>
    <t>210mg</t>
  </si>
  <si>
    <t>16g</t>
  </si>
  <si>
    <t>0g</t>
  </si>
  <si>
    <t>Doritos Cool Ranch Chips</t>
  </si>
  <si>
    <t>1 oz (28g/About 12 chips)</t>
  </si>
  <si>
    <t>180mg</t>
  </si>
  <si>
    <t>Dole Peaches and Crème Parfait</t>
  </si>
  <si>
    <t>1 Cup</t>
  </si>
  <si>
    <t>10mg</t>
  </si>
  <si>
    <t>24g</t>
  </si>
  <si>
    <t>Dole Apples and Crème Parfait</t>
  </si>
  <si>
    <t>2.5g</t>
  </si>
  <si>
    <t>26g</t>
  </si>
  <si>
    <t>Dole Pineapple Chunks</t>
  </si>
  <si>
    <t>1/2 cup</t>
  </si>
  <si>
    <t>15g</t>
  </si>
  <si>
    <t>Granny Smith Apple</t>
  </si>
  <si>
    <t>1 medium apple</t>
  </si>
  <si>
    <t>2mg</t>
  </si>
  <si>
    <t>Festival Manderin Oranges</t>
  </si>
  <si>
    <t>1/2 Cup (1/2 can)</t>
  </si>
  <si>
    <t>1 Cup (1 Can)</t>
  </si>
  <si>
    <t>15mg</t>
  </si>
  <si>
    <t>12g</t>
  </si>
  <si>
    <t>Oreo Cakesters</t>
  </si>
  <si>
    <t>1 Pack (2.02 oz-57g)</t>
  </si>
  <si>
    <t>5mg</t>
  </si>
  <si>
    <t>36g</t>
  </si>
  <si>
    <t>21g</t>
  </si>
  <si>
    <t>Oreo Mini Snack Pack</t>
  </si>
  <si>
    <t>1 paclk(1 oz - 28g)</t>
  </si>
  <si>
    <t>110mg</t>
  </si>
  <si>
    <t>11g</t>
  </si>
  <si>
    <t>Nutter Butter Bites Snack Pack</t>
  </si>
  <si>
    <t>1 pack (1 oz 28g)</t>
  </si>
  <si>
    <t>BelVita Soft Bake, Banana Bread</t>
  </si>
  <si>
    <t>1 pack (50g)</t>
  </si>
  <si>
    <t>120mg</t>
  </si>
  <si>
    <t>32g</t>
  </si>
  <si>
    <t>Nature Valley Soft Bake Muffin, Chocolate</t>
  </si>
  <si>
    <t>1 bar (35g)</t>
  </si>
  <si>
    <t>22g</t>
  </si>
  <si>
    <t>Trix Treats Snack Bar</t>
  </si>
  <si>
    <t>1 bar (24g)</t>
  </si>
  <si>
    <t>75mg</t>
  </si>
  <si>
    <t>Cinnamon Toast Crunch Treats Snack Bar</t>
  </si>
  <si>
    <t>90mg</t>
  </si>
  <si>
    <t>Reese's Puffs Treats Snack Bar</t>
  </si>
  <si>
    <t>105mg</t>
  </si>
  <si>
    <t>Ritz Sandwhich Crackers, Peanut Butter</t>
  </si>
  <si>
    <t>1 pack (1.38 oz - 39g)</t>
  </si>
  <si>
    <t>310mg</t>
  </si>
  <si>
    <t>Ritz Sandwhich Crackers, Cheese</t>
  </si>
  <si>
    <t>Kar's Sweet and Salty Trail Mix</t>
  </si>
  <si>
    <t>1 pack (1.75 oz-50g)</t>
  </si>
  <si>
    <t>23g</t>
  </si>
  <si>
    <t>Gatorade Protein Bar, Chocolate</t>
  </si>
  <si>
    <t>1 Bar (80g)</t>
  </si>
  <si>
    <t>10g</t>
  </si>
  <si>
    <t>30mg</t>
  </si>
  <si>
    <t>160mg</t>
  </si>
  <si>
    <t>41g</t>
  </si>
  <si>
    <t>29g</t>
  </si>
  <si>
    <t>28g</t>
  </si>
  <si>
    <t>Celery</t>
  </si>
  <si>
    <t>One medium (7 1/2" to 8" long) celery stalk (40g)</t>
  </si>
  <si>
    <t>Calories: 5.6</t>
  </si>
  <si>
    <t>32mg</t>
  </si>
  <si>
    <t>JIF Peanut Butter</t>
  </si>
  <si>
    <t>Servig Size</t>
  </si>
  <si>
    <t>1 Tbsp</t>
  </si>
  <si>
    <t>2 Tbsp</t>
  </si>
  <si>
    <t>3 Tbsp</t>
  </si>
  <si>
    <t>Tree Hive Maple Syrup + Honey</t>
  </si>
  <si>
    <t>Kirkland Organic Starwberry Spread</t>
  </si>
  <si>
    <t>Kirkland Raspberry Spread</t>
  </si>
  <si>
    <t>Smuckers Pineapple Preserve</t>
  </si>
  <si>
    <t>Ground Pork</t>
  </si>
  <si>
    <t>4 ounces</t>
  </si>
  <si>
    <t>8 ounces</t>
  </si>
  <si>
    <t>12 ounces</t>
  </si>
  <si>
    <t>16 ounces</t>
  </si>
  <si>
    <t>31g</t>
  </si>
  <si>
    <t>Saturated Fat</t>
  </si>
  <si>
    <t>Land O' Frost Honey Ham Slices</t>
  </si>
  <si>
    <t>1 slice</t>
  </si>
  <si>
    <t>2 slices</t>
  </si>
  <si>
    <t>3 slices</t>
  </si>
  <si>
    <t>6mg</t>
  </si>
  <si>
    <t>0.g</t>
  </si>
  <si>
    <t>Land O' Frost Trukey Breast</t>
  </si>
  <si>
    <t>1 Slice</t>
  </si>
  <si>
    <t>2 Slices</t>
  </si>
  <si>
    <t>130mg</t>
  </si>
  <si>
    <t>Cold Cereal</t>
  </si>
  <si>
    <t>General Mills Honey Nut Cheerios</t>
  </si>
  <si>
    <t>With Whole Milk</t>
  </si>
  <si>
    <t>3/4 cup</t>
  </si>
  <si>
    <t>1 cup</t>
  </si>
  <si>
    <t>2 Cups(1 Serving)</t>
  </si>
  <si>
    <t>4 Cups (2 servings)</t>
  </si>
  <si>
    <t>2 Cup Cheerios + 1 Cup Whole Milk</t>
  </si>
  <si>
    <t>4 Cup Cereal + 2 Cup Whole Milk</t>
  </si>
  <si>
    <t>480mg</t>
  </si>
  <si>
    <t>60g</t>
  </si>
  <si>
    <t>General Mills Honey Nut Cheerios Apple Cinnamon</t>
  </si>
  <si>
    <t>1/2 Cup</t>
  </si>
  <si>
    <t>3/4 Cup</t>
  </si>
  <si>
    <t>296mg</t>
  </si>
  <si>
    <t>90g</t>
  </si>
  <si>
    <t>120g</t>
  </si>
  <si>
    <t>Post Honey Bunches of Oats, Strawberry</t>
  </si>
  <si>
    <t>2 Cups Cereal + 1 Cup Whole Milk</t>
  </si>
  <si>
    <t>4 Cups Cereal + 2 Cups Whole Milk</t>
  </si>
  <si>
    <t>340mg</t>
  </si>
  <si>
    <t>68g</t>
  </si>
  <si>
    <t>Quaker Cap'n Crunch Peanut Butter Crunch</t>
  </si>
  <si>
    <t>600mg</t>
  </si>
  <si>
    <t>64g</t>
  </si>
  <si>
    <t>Quaker Cap'n Crunch OOPs All Berries</t>
  </si>
  <si>
    <t>1 cup (1 Serving)</t>
  </si>
  <si>
    <t>2 Cups (2 Servings)</t>
  </si>
  <si>
    <t>1mg</t>
  </si>
  <si>
    <t>3.6g</t>
  </si>
  <si>
    <t>Quaker Simply Granola: Oats, honey, Raisins, and Almonds</t>
  </si>
  <si>
    <t>1/3 Cup</t>
  </si>
  <si>
    <t>2/3 Cup(One Serving)</t>
  </si>
  <si>
    <t>1 1/3 CUP(2 Servings)</t>
  </si>
  <si>
    <t>2/3 Cups Cereal + 1 Cup Whole Milk</t>
  </si>
  <si>
    <t>1 1/3 Cups Cereal + 2 Cups Whole Milk</t>
  </si>
  <si>
    <t>35mg</t>
  </si>
  <si>
    <t>51g</t>
  </si>
  <si>
    <t>Kellogg's Frosted Flakes</t>
  </si>
  <si>
    <t>4 cups (2 Servings)</t>
  </si>
  <si>
    <t>380mg</t>
  </si>
  <si>
    <t>66g</t>
  </si>
  <si>
    <t>Kellogg's Raisin Bran Crunch</t>
  </si>
  <si>
    <t>400mg</t>
  </si>
  <si>
    <t>92g</t>
  </si>
  <si>
    <t>38g</t>
  </si>
  <si>
    <t>HOT</t>
  </si>
  <si>
    <t>Quaker State Oatmeal</t>
  </si>
  <si>
    <t>27g</t>
  </si>
  <si>
    <t>Farmer Johns Maple Pork Links</t>
  </si>
  <si>
    <t>1 Link</t>
  </si>
  <si>
    <t>2 Links</t>
  </si>
  <si>
    <t>3 Links</t>
  </si>
  <si>
    <t>4 Links</t>
  </si>
  <si>
    <t>6.5g</t>
  </si>
  <si>
    <t>Oscar Mayer Naturally Hardwood Smoked Bacon</t>
  </si>
  <si>
    <t>4 Slices</t>
  </si>
  <si>
    <t>20mg</t>
  </si>
  <si>
    <t>350mg</t>
  </si>
  <si>
    <t>Hormel Natural Choice Bacon</t>
  </si>
  <si>
    <t>2 Pan Fried Slices</t>
  </si>
  <si>
    <t>25mg</t>
  </si>
  <si>
    <t>Lipton Green Tea Citrus</t>
  </si>
  <si>
    <t>1 bottle (16.9 oz)</t>
  </si>
  <si>
    <t>150mg</t>
  </si>
  <si>
    <t>25g</t>
  </si>
  <si>
    <t>Redbull Energy Drink</t>
  </si>
  <si>
    <t>1 can (8.4 oz)</t>
  </si>
  <si>
    <t xml:space="preserve">Sugar </t>
  </si>
  <si>
    <t xml:space="preserve">Protein </t>
  </si>
  <si>
    <t xml:space="preserve">Dutch Bros Annihilator </t>
  </si>
  <si>
    <t>20 ounces</t>
  </si>
  <si>
    <t>37g</t>
  </si>
  <si>
    <t>161mg</t>
  </si>
  <si>
    <t>47g</t>
  </si>
  <si>
    <t>35g</t>
  </si>
  <si>
    <t>Dutch Bros Cocomo Freeze</t>
  </si>
  <si>
    <t>27mg</t>
  </si>
  <si>
    <t>70g</t>
  </si>
  <si>
    <t>Caffeine</t>
  </si>
  <si>
    <t>159mg</t>
  </si>
  <si>
    <t>Dutch Bros Carmelizer</t>
  </si>
  <si>
    <t>49mg</t>
  </si>
  <si>
    <t>304mg</t>
  </si>
  <si>
    <t>59g</t>
  </si>
  <si>
    <t>39g</t>
  </si>
  <si>
    <t>Folgers Home Brew With 2 Teaspoons Sugar</t>
  </si>
  <si>
    <t>10 oz</t>
  </si>
  <si>
    <t>8mg</t>
  </si>
  <si>
    <t>0.4g</t>
  </si>
  <si>
    <t>Maxwell House Iced Coffee with Cream and Sugar</t>
  </si>
  <si>
    <t>1 can (11 fl oz - 325 ml)</t>
  </si>
  <si>
    <t>International Delight Iced Coffee w/ Milk and Cream</t>
  </si>
  <si>
    <t>12 Fluid Ounces (1 serving)</t>
  </si>
  <si>
    <t>International Delight Reese's Iced Coffee w/ Milk and Cream</t>
  </si>
  <si>
    <t>115mg</t>
  </si>
  <si>
    <t>Pepsi</t>
  </si>
  <si>
    <t>7.5 oz can</t>
  </si>
  <si>
    <t>12 oz can</t>
  </si>
  <si>
    <t>20 oz bottle</t>
  </si>
  <si>
    <t>55mg</t>
  </si>
  <si>
    <t>69g</t>
  </si>
  <si>
    <t>Sprite</t>
  </si>
  <si>
    <t>65mg</t>
  </si>
  <si>
    <t>63g</t>
  </si>
  <si>
    <t>Mountain Dew</t>
  </si>
  <si>
    <t>20 oz Bottle</t>
  </si>
  <si>
    <t>40mg</t>
  </si>
  <si>
    <t>85g</t>
  </si>
  <si>
    <t>46g</t>
  </si>
  <si>
    <t>77g</t>
  </si>
  <si>
    <t>Del Monte Pineapple Juice Drink</t>
  </si>
  <si>
    <t>1 can (8.1 fl oz - 240ml)</t>
  </si>
  <si>
    <t>Del Monte Mango Juice Drink</t>
  </si>
  <si>
    <t>33g</t>
  </si>
  <si>
    <t>Body Fotress Whey Protein, Strawberry</t>
  </si>
  <si>
    <t>1 scoop</t>
  </si>
  <si>
    <t>Body Fortress Why Protein, Chocolate</t>
  </si>
  <si>
    <t>125mg</t>
  </si>
  <si>
    <t>30g</t>
  </si>
  <si>
    <t>Body Fortress Whey Protein, Cookies and Cream</t>
  </si>
  <si>
    <t>Premier Protein Drink, Vanilla</t>
  </si>
  <si>
    <t>1 Shake (11 fl oz)</t>
  </si>
  <si>
    <t>Premier Protein Drink, Strawberry</t>
  </si>
  <si>
    <t>Premier Protein Drink, Chocolate</t>
  </si>
  <si>
    <t>Gatorade, Orange</t>
  </si>
  <si>
    <t>12 fl oz</t>
  </si>
  <si>
    <t>Gatorade, Fruit Punch</t>
  </si>
  <si>
    <t>Gatorade, Berry</t>
  </si>
  <si>
    <t>Gatorade, Lemon Lime</t>
  </si>
  <si>
    <t>Gatorade, Grape</t>
  </si>
  <si>
    <t>12 fl. Oz</t>
  </si>
  <si>
    <t>Gatorade, Strawberry</t>
  </si>
  <si>
    <t>Eggs</t>
  </si>
  <si>
    <t>1 Egg</t>
  </si>
  <si>
    <t>2 Eggs</t>
  </si>
  <si>
    <t>3 Eggs</t>
  </si>
  <si>
    <t>4 Eggs</t>
  </si>
  <si>
    <t>185mg</t>
  </si>
  <si>
    <t>Carbs</t>
  </si>
  <si>
    <t xml:space="preserve">Best Foods Mayonaise </t>
  </si>
  <si>
    <t xml:space="preserve"> </t>
  </si>
  <si>
    <t>3 TBSp</t>
  </si>
  <si>
    <t>Great Value Peper Jack Sliced Cheese</t>
  </si>
  <si>
    <t>2 Slice</t>
  </si>
  <si>
    <t>125 mg</t>
  </si>
  <si>
    <t>Great Value Sliced Swiss Cheese</t>
  </si>
  <si>
    <t>Darigold Old Fashioned Vanilla Milk</t>
  </si>
  <si>
    <t>1 bottle (14 fl oz)</t>
  </si>
  <si>
    <t>240mg</t>
  </si>
  <si>
    <t>61g</t>
  </si>
  <si>
    <t>Umpqua 2% Chocolate Milk</t>
  </si>
  <si>
    <t>1 cup (8 ounces)</t>
  </si>
  <si>
    <t>10 ounces</t>
  </si>
  <si>
    <t>200mg</t>
  </si>
  <si>
    <t>Whole Milk</t>
  </si>
  <si>
    <t>1 Cup (1 serving)</t>
  </si>
  <si>
    <t>1 1/2 Cups</t>
  </si>
  <si>
    <t>2 Cups</t>
  </si>
  <si>
    <t>Franz Whole Wheat Bread</t>
  </si>
  <si>
    <t>4 slices</t>
  </si>
  <si>
    <t>Franz Cinnamon Raisin Bagels</t>
  </si>
  <si>
    <t>1/2 bagel</t>
  </si>
  <si>
    <t>1 bagel</t>
  </si>
  <si>
    <t>French Toast</t>
  </si>
  <si>
    <t>3 Slices</t>
  </si>
  <si>
    <t>6 Slices</t>
  </si>
  <si>
    <t>12 Slices</t>
  </si>
  <si>
    <t>2,064mg</t>
  </si>
  <si>
    <t>206g</t>
  </si>
  <si>
    <t>Franz Hot Dog Buns</t>
  </si>
  <si>
    <t>1 Bun</t>
  </si>
  <si>
    <t>2 bun</t>
  </si>
  <si>
    <t>3 buns</t>
  </si>
  <si>
    <t>Franz English Muffins</t>
  </si>
  <si>
    <t>1/2 muffin (30g)</t>
  </si>
  <si>
    <t>1 muffin (61g)</t>
  </si>
  <si>
    <t>Uncle Ben's Whole Grain Brown Rice</t>
  </si>
  <si>
    <t>1/4 cup dry(1 cup cooked) (48g)</t>
  </si>
  <si>
    <t>Potato</t>
  </si>
  <si>
    <t>1 medium potato</t>
  </si>
  <si>
    <t>Funfetti Pancakes</t>
  </si>
  <si>
    <t>1 pancakes</t>
  </si>
  <si>
    <t>2 Pancakes</t>
  </si>
  <si>
    <t>3 Pancakes</t>
  </si>
  <si>
    <t>440mg</t>
  </si>
  <si>
    <t>40g</t>
  </si>
  <si>
    <t>Kraft Deluxe Mac and Cheese</t>
  </si>
  <si>
    <t>1/4 box (1 Serving)</t>
  </si>
  <si>
    <t>1/2 box</t>
  </si>
  <si>
    <t>1 box</t>
  </si>
  <si>
    <t>910mg</t>
  </si>
  <si>
    <t>42g</t>
  </si>
  <si>
    <t>C&amp;H Brown Sugar</t>
  </si>
  <si>
    <t>1 Teaspoon (1 serving)</t>
  </si>
  <si>
    <t>1 Tablspoon (3 servings)</t>
  </si>
  <si>
    <t>2 Tablespoons</t>
  </si>
  <si>
    <t>Kirkland Oregon Raw Unfiltered Honey</t>
  </si>
  <si>
    <t>1 Tablespoon</t>
  </si>
  <si>
    <t>300mg</t>
  </si>
  <si>
    <t>Franz White Bread</t>
  </si>
  <si>
    <t>140mg</t>
  </si>
  <si>
    <t>Taco Bell Sausage Breakfast Crunchwrap</t>
  </si>
  <si>
    <t>1 Crunchwrap</t>
  </si>
  <si>
    <t>1,270mg</t>
  </si>
  <si>
    <t>50g</t>
  </si>
  <si>
    <t>Taco Bell Chicken Chalupa</t>
  </si>
  <si>
    <t>1 Chalupa</t>
  </si>
  <si>
    <t>570mg</t>
  </si>
  <si>
    <t>Taco Bell Beefy 5-Layer Burrito</t>
  </si>
  <si>
    <t>1 Burrito</t>
  </si>
  <si>
    <t>2 Burritos</t>
  </si>
  <si>
    <t>1,250mg</t>
  </si>
  <si>
    <t>Taco Bell Burrito Supreme</t>
  </si>
  <si>
    <t>14g</t>
  </si>
  <si>
    <t>1,110mg</t>
  </si>
  <si>
    <t>Taco Bell 7-Layer Burrito</t>
  </si>
  <si>
    <t>960mg</t>
  </si>
  <si>
    <t>58g</t>
  </si>
  <si>
    <t>Taco Bell Chalupa Supreme</t>
  </si>
  <si>
    <t>2 Chalupas</t>
  </si>
  <si>
    <t>560mg</t>
  </si>
  <si>
    <t>Taco Bell Crunchwrap Supreme</t>
  </si>
  <si>
    <t>1,200mg</t>
  </si>
  <si>
    <t>71g</t>
  </si>
  <si>
    <t>Taco Bell Soft Taco</t>
  </si>
  <si>
    <t>1 Taco</t>
  </si>
  <si>
    <t>2 Tacos</t>
  </si>
  <si>
    <t>500mg</t>
  </si>
  <si>
    <t>Burger King Cheeseburger</t>
  </si>
  <si>
    <t>1 Burger</t>
  </si>
  <si>
    <t>2 Burgers</t>
  </si>
  <si>
    <t>45mg</t>
  </si>
  <si>
    <t>Burger King Double Cheeseburger</t>
  </si>
  <si>
    <t>50mg</t>
  </si>
  <si>
    <t>Burger King Single Stacker</t>
  </si>
  <si>
    <t>590mg</t>
  </si>
  <si>
    <t>Burger King Double Stacker</t>
  </si>
  <si>
    <t>235mg</t>
  </si>
  <si>
    <t>1,870mg</t>
  </si>
  <si>
    <t>49g</t>
  </si>
  <si>
    <t>Burger King Whopper</t>
  </si>
  <si>
    <t>1 Whopper</t>
  </si>
  <si>
    <t>2 Whoppers</t>
  </si>
  <si>
    <t>980mg</t>
  </si>
  <si>
    <t>Burger King Fries</t>
  </si>
  <si>
    <t>Value</t>
  </si>
  <si>
    <t>Small</t>
  </si>
  <si>
    <t>Medium</t>
  </si>
  <si>
    <t>Large</t>
  </si>
  <si>
    <t>360mg</t>
  </si>
  <si>
    <t>410mg</t>
  </si>
  <si>
    <t>34g</t>
  </si>
  <si>
    <t>Cadburry Mini Crème Eggs</t>
  </si>
  <si>
    <t>3 pieces(27g)</t>
  </si>
  <si>
    <t>All 12 pieces(107g)</t>
  </si>
  <si>
    <t>Sweet and Tangy Meatballs with Roasted Zucchini and Garlic Mashed Potatoes</t>
  </si>
  <si>
    <t>1 serving</t>
  </si>
  <si>
    <t>100mg</t>
  </si>
  <si>
    <t>620mg</t>
  </si>
  <si>
    <t>1 meal</t>
  </si>
  <si>
    <t>690cal</t>
  </si>
  <si>
    <t>160g</t>
  </si>
  <si>
    <t>Ham Sandwhich on Wheat</t>
  </si>
  <si>
    <t>1 Sandwhich</t>
  </si>
  <si>
    <t>Total</t>
  </si>
  <si>
    <t>3 slices of Ham</t>
  </si>
  <si>
    <t>413mg</t>
  </si>
  <si>
    <t>1 slice of Pepper Jack Cheese</t>
  </si>
  <si>
    <t xml:space="preserve">1 Tbsp Best Foods Mayonaise </t>
  </si>
  <si>
    <t>2 Slices Franz Whole Wheat Bread</t>
  </si>
  <si>
    <t>2 Sandwhiches</t>
  </si>
  <si>
    <t>6 slices of Ham</t>
  </si>
  <si>
    <t>38mg</t>
  </si>
  <si>
    <t>826mg</t>
  </si>
  <si>
    <t>6 slice of Pepper jack Cheese</t>
  </si>
  <si>
    <t>250mg</t>
  </si>
  <si>
    <t xml:space="preserve">2 Tbsp Best Foods Mayonaise </t>
  </si>
  <si>
    <t>190mg</t>
  </si>
  <si>
    <t>Peanut Butter and Jelly Sandwhiches</t>
  </si>
  <si>
    <t>1 Tbsp Peanut Butter</t>
  </si>
  <si>
    <t>1 Tbsp Kirkland Organic Starwberry Spread</t>
  </si>
  <si>
    <t>2 Tbsp Peanut Butter</t>
  </si>
  <si>
    <t>170mg</t>
  </si>
  <si>
    <t>2 Tbsp Kirkland Organic Starwberry Spread</t>
  </si>
  <si>
    <t>4 Slices Franz Whole Wheat Bread</t>
  </si>
  <si>
    <t>Hardboiled Egg Sandwhiches</t>
  </si>
  <si>
    <t>1 Hard Boiled Egg Sandwhich</t>
  </si>
  <si>
    <t>1 Hardboiled Eggs</t>
  </si>
  <si>
    <t>2 Hard Boiled Egg Sandwhiches</t>
  </si>
  <si>
    <t>2 Hardboiled Eggs</t>
  </si>
  <si>
    <t>370mg</t>
  </si>
  <si>
    <t xml:space="preserve">3 Tbsp Best Foods Mayonaise </t>
  </si>
  <si>
    <t>285mg</t>
  </si>
  <si>
    <t>Protein Drink + 1 cup Whole Milk</t>
  </si>
  <si>
    <t>1 Protein Drink</t>
  </si>
  <si>
    <t>1 scoop Body Fortress Strawberry Protein Mix Strawberry</t>
  </si>
  <si>
    <t>1 Cup (8 0z) Whole Milk</t>
  </si>
  <si>
    <t>Breakfast</t>
  </si>
  <si>
    <t>2 Toast</t>
  </si>
  <si>
    <t>280mg</t>
  </si>
  <si>
    <t>Oatmeal</t>
  </si>
  <si>
    <t>54g</t>
  </si>
  <si>
    <t>Snack</t>
  </si>
  <si>
    <t>Gatorade</t>
  </si>
  <si>
    <t>6 fl oz</t>
  </si>
  <si>
    <t>10.5g</t>
  </si>
  <si>
    <t>Lunch</t>
  </si>
  <si>
    <t>7.5g</t>
  </si>
  <si>
    <t>385mg</t>
  </si>
  <si>
    <t>1025mg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</si>
</sst>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6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30">
    <xf numFmtId="0" fontId="0" fillId="0" borderId="0" xfId="0"/>
    <xf numFmtId="0" fontId="1" fillId="0" borderId="0" xfId="0" applyFont="1"/>
    <xf numFmtId="3" fontId="0" fillId="0" borderId="0" xfId="0" applyNumberFormat="1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3" fillId="0" borderId="0" xfId="0" applyFont="1" applyAlignment="1">
      <alignment horizontal="right"/>
    </xf>
    <xf numFmtId="3" fontId="0" fillId="0" borderId="0" xfId="0" applyNumberFormat="1" applyAlignment="1">
      <alignment horizontal="right"/>
    </xf>
    <xf numFmtId="3" fontId="0" fillId="0" borderId="0" xfId="0" applyNumberFormat="1" applyAlignment="1">
      <alignment horizontal="left"/>
    </xf>
    <xf numFmtId="3" fontId="1" fillId="0" borderId="0" xfId="0" applyNumberFormat="1" applyFont="1" applyAlignment="1">
      <alignment horizontal="right"/>
    </xf>
    <xf numFmtId="3" fontId="3" fillId="0" borderId="0" xfId="0" applyNumberFormat="1" applyFont="1" applyAlignment="1">
      <alignment horizontal="right"/>
    </xf>
    <xf numFmtId="3" fontId="1" fillId="0" borderId="0" xfId="0" applyNumberFormat="1" applyFont="1"/>
    <xf numFmtId="3" fontId="1" fillId="0" borderId="0" xfId="0" applyNumberFormat="1" applyFont="1" applyAlignment="1">
      <alignment horizontal="left"/>
    </xf>
    <xf numFmtId="3" fontId="3" fillId="0" borderId="0" xfId="0" applyNumberFormat="1" applyFont="1" applyAlignment="1">
      <alignment horizontal="left"/>
    </xf>
    <xf numFmtId="3" fontId="3" fillId="2" borderId="0" xfId="0" applyNumberFormat="1" applyFont="1" applyFill="1" applyAlignment="1">
      <alignment horizontal="right"/>
    </xf>
    <xf numFmtId="3" fontId="3" fillId="0" borderId="0" xfId="0" applyNumberFormat="1" applyFont="1"/>
    <xf numFmtId="3" fontId="3" fillId="2" borderId="0" xfId="0" applyNumberFormat="1" applyFont="1" applyFill="1"/>
    <xf numFmtId="4" fontId="0" fillId="0" borderId="0" xfId="0" applyNumberFormat="1" applyAlignment="1">
      <alignment horizontal="right"/>
    </xf>
    <xf numFmtId="49" fontId="0" fillId="0" borderId="0" xfId="1" applyNumberFormat="1" applyFont="1" applyAlignment="1">
      <alignment horizontal="right"/>
    </xf>
    <xf numFmtId="0" fontId="3" fillId="0" borderId="0" xfId="0" applyFont="1"/>
    <xf numFmtId="3" fontId="5" fillId="0" borderId="0" xfId="0" applyNumberFormat="1" applyFont="1" applyAlignment="1">
      <alignment horizontal="right"/>
    </xf>
    <xf numFmtId="3" fontId="1" fillId="0" borderId="0" xfId="0" applyNumberFormat="1" applyFont="1" applyAlignment="1"/>
    <xf numFmtId="0" fontId="3" fillId="0" borderId="0" xfId="0" applyFont="1" applyAlignment="1">
      <alignment horizontal="left"/>
    </xf>
    <xf numFmtId="3" fontId="0" fillId="0" borderId="0" xfId="0" applyNumberFormat="1" applyFont="1" applyAlignment="1">
      <alignment horizontal="right"/>
    </xf>
    <xf numFmtId="3" fontId="0" fillId="0" borderId="0" xfId="0" applyNumberFormat="1" applyFont="1" applyAlignment="1">
      <alignment horizontal="left"/>
    </xf>
    <xf numFmtId="0" fontId="0" fillId="0" borderId="0" xfId="0" applyFont="1"/>
    <xf numFmtId="3" fontId="3" fillId="0" borderId="0" xfId="0" applyNumberFormat="1" applyFont="1" applyAlignment="1"/>
    <xf numFmtId="3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3" fontId="3" fillId="0" borderId="0" xfId="0" applyNumberFormat="1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16B74-7491-7A42-8486-23DFAB744A42}">
  <sheetPr codeName="Sheet1"/>
  <dimension ref="A1:C325"/>
  <sheetViews>
    <sheetView zoomScale="115" zoomScaleNormal="115" zoomScaleSheetLayoutView="100" workbookViewId="0">
      <selection activeCell="C10" sqref="C10"/>
    </sheetView>
  </sheetViews>
  <sheetFormatPr defaultColWidth="9.140625" defaultRowHeight="15" outlineLevelRow="1"/>
  <cols>
    <col min="1" max="1" width="23.85546875" style="2" customWidth="1"/>
    <col min="2" max="2" width="44.85546875" style="2" bestFit="1" customWidth="1"/>
    <col min="3" max="3" width="33.7109375" style="2" customWidth="1"/>
    <col min="4" max="16384" width="9.140625" style="2"/>
  </cols>
  <sheetData>
    <row r="1" spans="1:3">
      <c r="A1" s="26" t="s">
        <v>0</v>
      </c>
      <c r="B1" s="26"/>
      <c r="C1" s="7"/>
    </row>
    <row r="2" spans="1:3" hidden="1" outlineLevel="1">
      <c r="A2" s="7" t="s">
        <v>1</v>
      </c>
      <c r="B2" s="22" t="s">
        <v>2</v>
      </c>
      <c r="C2" s="22" t="s">
        <v>3</v>
      </c>
    </row>
    <row r="3" spans="1:3" hidden="1" outlineLevel="1">
      <c r="A3" s="7" t="s">
        <v>4</v>
      </c>
      <c r="B3" s="6">
        <v>90</v>
      </c>
      <c r="C3">
        <f>SUM(B3*2)</f>
        <v>180</v>
      </c>
    </row>
    <row r="4" spans="1:3" hidden="1" outlineLevel="1">
      <c r="A4" s="7" t="s">
        <v>5</v>
      </c>
      <c r="B4" s="6" t="s">
        <v>6</v>
      </c>
      <c r="C4" s="3" t="str">
        <f t="shared" ref="C4:C5" si="0">SUM(IF(ISNUMBER( SEARCH("g",B4)), LEFT(B4, LEN(B4)-1)*1, "")*2)&amp;"g"</f>
        <v>4g</v>
      </c>
    </row>
    <row r="5" spans="1:3" hidden="1" outlineLevel="1">
      <c r="A5" s="7" t="s">
        <v>7</v>
      </c>
      <c r="B5" s="6" t="s">
        <v>8</v>
      </c>
      <c r="C5" s="3" t="str">
        <f t="shared" si="0"/>
        <v>1g</v>
      </c>
    </row>
    <row r="6" spans="1:3" hidden="1" outlineLevel="1">
      <c r="A6" s="7" t="s">
        <v>9</v>
      </c>
      <c r="B6" s="6" t="s">
        <v>10</v>
      </c>
      <c r="C6" s="3" t="str">
        <f t="shared" ref="C6:C7" si="1">SUM(IF(ISNUMBER( SEARCH("mg",B6)), LEFT(B6, LEN(B6)-2)*1, "")*2)&amp;"mg"</f>
        <v>160mg</v>
      </c>
    </row>
    <row r="7" spans="1:3" hidden="1" outlineLevel="1">
      <c r="A7" s="7" t="s">
        <v>11</v>
      </c>
      <c r="B7" s="6" t="s">
        <v>12</v>
      </c>
      <c r="C7" s="3" t="str">
        <f t="shared" si="1"/>
        <v>38mg</v>
      </c>
    </row>
    <row r="8" spans="1:3" hidden="1" outlineLevel="1">
      <c r="A8" s="7" t="s">
        <v>13</v>
      </c>
      <c r="B8" s="6" t="s">
        <v>14</v>
      </c>
      <c r="C8" s="3" t="str">
        <f t="shared" ref="C8:C12" si="2">SUM(IF(ISNUMBER( SEARCH("g",B8)), LEFT(B8, LEN(B8)-1)*1, "")*2)&amp;"g"</f>
        <v>2g</v>
      </c>
    </row>
    <row r="9" spans="1:3" hidden="1" outlineLevel="1">
      <c r="A9" s="7" t="s">
        <v>15</v>
      </c>
      <c r="B9" s="6" t="s">
        <v>16</v>
      </c>
      <c r="C9" s="3" t="str">
        <f t="shared" si="2"/>
        <v>14g</v>
      </c>
    </row>
    <row r="10" spans="1:3" hidden="1" outlineLevel="1">
      <c r="A10" s="7" t="s">
        <v>17</v>
      </c>
      <c r="B10" s="6" t="s">
        <v>16</v>
      </c>
      <c r="C10" s="3" t="str">
        <f t="shared" si="2"/>
        <v>14g</v>
      </c>
    </row>
    <row r="11" spans="1:3" hidden="1" outlineLevel="1">
      <c r="A11" s="7" t="s">
        <v>18</v>
      </c>
      <c r="B11" s="6" t="s">
        <v>14</v>
      </c>
      <c r="C11" s="3" t="str">
        <f t="shared" si="2"/>
        <v>2g</v>
      </c>
    </row>
    <row r="12" spans="1:3" hidden="1" outlineLevel="1">
      <c r="A12" s="7" t="s">
        <v>19</v>
      </c>
      <c r="B12" s="6" t="s">
        <v>14</v>
      </c>
      <c r="C12" s="3" t="str">
        <f t="shared" si="2"/>
        <v>2g</v>
      </c>
    </row>
    <row r="13" spans="1:3" collapsed="1">
      <c r="A13" s="26" t="s">
        <v>20</v>
      </c>
      <c r="B13" s="26"/>
      <c r="C13" s="10"/>
    </row>
    <row r="14" spans="1:3" hidden="1" outlineLevel="1">
      <c r="A14" s="7" t="s">
        <v>1</v>
      </c>
      <c r="B14" s="22" t="s">
        <v>2</v>
      </c>
      <c r="C14" s="22" t="s">
        <v>21</v>
      </c>
    </row>
    <row r="15" spans="1:3" hidden="1" outlineLevel="1">
      <c r="A15" s="7" t="s">
        <v>4</v>
      </c>
      <c r="B15" s="6">
        <v>100</v>
      </c>
      <c r="C15">
        <f>SUM(B15*2)</f>
        <v>200</v>
      </c>
    </row>
    <row r="16" spans="1:3" hidden="1" outlineLevel="1">
      <c r="A16" s="7" t="s">
        <v>5</v>
      </c>
      <c r="B16" s="6" t="s">
        <v>22</v>
      </c>
      <c r="C16" s="3" t="str">
        <f t="shared" ref="C16:C17" si="3">SUM(IF(ISNUMBER( SEARCH("g",B16)), LEFT(B16, LEN(B16)-1)*1, "")*2)&amp;"g"</f>
        <v>6g</v>
      </c>
    </row>
    <row r="17" spans="1:3" hidden="1" outlineLevel="1">
      <c r="A17" s="7" t="s">
        <v>7</v>
      </c>
      <c r="B17" s="6" t="s">
        <v>14</v>
      </c>
      <c r="C17" s="3" t="str">
        <f t="shared" si="3"/>
        <v>2g</v>
      </c>
    </row>
    <row r="18" spans="1:3" hidden="1" outlineLevel="1">
      <c r="A18" s="7" t="s">
        <v>9</v>
      </c>
      <c r="B18" s="6" t="s">
        <v>23</v>
      </c>
      <c r="C18" s="3" t="str">
        <f t="shared" ref="C18:C19" si="4">SUM(IF(ISNUMBER( SEARCH("mg",B18)), LEFT(B18, LEN(B18)-2)*1, "")*2)&amp;"mg"</f>
        <v>0mg</v>
      </c>
    </row>
    <row r="19" spans="1:3" hidden="1" outlineLevel="1">
      <c r="A19" s="7" t="s">
        <v>11</v>
      </c>
      <c r="B19" s="6" t="s">
        <v>24</v>
      </c>
      <c r="C19" s="3" t="str">
        <f t="shared" si="4"/>
        <v>190mg</v>
      </c>
    </row>
    <row r="20" spans="1:3" hidden="1" outlineLevel="1">
      <c r="A20" s="7" t="s">
        <v>25</v>
      </c>
      <c r="B20" s="6" t="s">
        <v>26</v>
      </c>
      <c r="C20" s="3" t="str">
        <f t="shared" ref="C20:C24" si="5">SUM(IF(ISNUMBER( SEARCH("g",B20)), LEFT(B20, LEN(B20)-1)*1, "")*2)&amp;"g"</f>
        <v>34g</v>
      </c>
    </row>
    <row r="21" spans="1:3" hidden="1" outlineLevel="1">
      <c r="A21" s="7" t="s">
        <v>15</v>
      </c>
      <c r="B21" s="6" t="s">
        <v>14</v>
      </c>
      <c r="C21" s="3" t="str">
        <f t="shared" si="5"/>
        <v>2g</v>
      </c>
    </row>
    <row r="22" spans="1:3" hidden="1" outlineLevel="1">
      <c r="A22" s="7" t="s">
        <v>17</v>
      </c>
      <c r="B22" s="6" t="s">
        <v>16</v>
      </c>
      <c r="C22" s="3" t="str">
        <f t="shared" si="5"/>
        <v>14g</v>
      </c>
    </row>
    <row r="23" spans="1:3" hidden="1" outlineLevel="1">
      <c r="A23" s="7" t="s">
        <v>27</v>
      </c>
      <c r="B23" s="6" t="s">
        <v>16</v>
      </c>
      <c r="C23" s="3" t="str">
        <f t="shared" si="5"/>
        <v>14g</v>
      </c>
    </row>
    <row r="24" spans="1:3" hidden="1" outlineLevel="1">
      <c r="A24" s="7" t="s">
        <v>19</v>
      </c>
      <c r="B24" s="6" t="s">
        <v>6</v>
      </c>
      <c r="C24" s="3" t="str">
        <f t="shared" si="5"/>
        <v>4g</v>
      </c>
    </row>
    <row r="25" spans="1:3" collapsed="1">
      <c r="A25" s="26" t="s">
        <v>28</v>
      </c>
      <c r="B25" s="26"/>
      <c r="C25" s="7"/>
    </row>
    <row r="26" spans="1:3" hidden="1" outlineLevel="1">
      <c r="A26" s="7" t="s">
        <v>1</v>
      </c>
      <c r="B26" s="22" t="s">
        <v>2</v>
      </c>
      <c r="C26" s="19" t="s">
        <v>21</v>
      </c>
    </row>
    <row r="27" spans="1:3" hidden="1" outlineLevel="1">
      <c r="A27" s="7" t="s">
        <v>4</v>
      </c>
      <c r="B27" s="6">
        <v>100</v>
      </c>
      <c r="C27">
        <f>SUM(B27*2)</f>
        <v>200</v>
      </c>
    </row>
    <row r="28" spans="1:3" hidden="1" outlineLevel="1">
      <c r="A28" s="7" t="s">
        <v>5</v>
      </c>
      <c r="B28" s="6" t="s">
        <v>29</v>
      </c>
      <c r="C28" s="3" t="str">
        <f t="shared" ref="C28:C29" si="6">SUM(IF(ISNUMBER( SEARCH("g",B28)), LEFT(B28, LEN(B28)-1)*1, "")*2)&amp;"g"</f>
        <v>7g</v>
      </c>
    </row>
    <row r="29" spans="1:3" hidden="1" outlineLevel="1">
      <c r="A29" s="7" t="s">
        <v>7</v>
      </c>
      <c r="B29" s="6" t="s">
        <v>30</v>
      </c>
      <c r="C29" s="3" t="str">
        <f t="shared" si="6"/>
        <v>3g</v>
      </c>
    </row>
    <row r="30" spans="1:3" hidden="1" outlineLevel="1">
      <c r="A30" s="7" t="s">
        <v>9</v>
      </c>
      <c r="B30" s="6" t="s">
        <v>23</v>
      </c>
      <c r="C30" s="3" t="str">
        <f t="shared" ref="C30:C31" si="7">SUM(IF(ISNUMBER( SEARCH("mg",B30)), LEFT(B30, LEN(B30)-2)*1, "")*2)&amp;"mg"</f>
        <v>0mg</v>
      </c>
    </row>
    <row r="31" spans="1:3" hidden="1" outlineLevel="1">
      <c r="A31" s="7" t="s">
        <v>11</v>
      </c>
      <c r="B31" s="6" t="s">
        <v>31</v>
      </c>
      <c r="C31" s="3" t="str">
        <f t="shared" si="7"/>
        <v>140mg</v>
      </c>
    </row>
    <row r="32" spans="1:3" hidden="1" outlineLevel="1">
      <c r="A32" s="7" t="s">
        <v>13</v>
      </c>
      <c r="B32" s="6" t="s">
        <v>26</v>
      </c>
      <c r="C32" s="3" t="str">
        <f t="shared" ref="C32:C36" si="8">SUM(IF(ISNUMBER( SEARCH("g",B32)), LEFT(B32, LEN(B32)-1)*1, "")*2)&amp;"g"</f>
        <v>34g</v>
      </c>
    </row>
    <row r="33" spans="1:3" hidden="1" outlineLevel="1">
      <c r="A33" s="7" t="s">
        <v>15</v>
      </c>
      <c r="B33" s="6" t="s">
        <v>14</v>
      </c>
      <c r="C33" s="3" t="str">
        <f t="shared" si="8"/>
        <v>2g</v>
      </c>
    </row>
    <row r="34" spans="1:3" hidden="1" outlineLevel="1">
      <c r="A34" s="7" t="s">
        <v>17</v>
      </c>
      <c r="B34" s="6" t="s">
        <v>16</v>
      </c>
      <c r="C34" s="3" t="str">
        <f t="shared" si="8"/>
        <v>14g</v>
      </c>
    </row>
    <row r="35" spans="1:3" hidden="1" outlineLevel="1">
      <c r="A35" s="7" t="s">
        <v>18</v>
      </c>
      <c r="B35" s="6" t="s">
        <v>16</v>
      </c>
      <c r="C35" s="3" t="str">
        <f t="shared" si="8"/>
        <v>14g</v>
      </c>
    </row>
    <row r="36" spans="1:3" hidden="1" outlineLevel="1">
      <c r="A36" s="7" t="s">
        <v>19</v>
      </c>
      <c r="B36" s="6" t="s">
        <v>14</v>
      </c>
      <c r="C36" s="3" t="str">
        <f t="shared" si="8"/>
        <v>2g</v>
      </c>
    </row>
    <row r="37" spans="1:3" collapsed="1">
      <c r="A37" s="26" t="s">
        <v>32</v>
      </c>
      <c r="B37" s="26"/>
    </row>
    <row r="38" spans="1:3" hidden="1" outlineLevel="1">
      <c r="A38" s="2" t="s">
        <v>1</v>
      </c>
      <c r="B38" s="22" t="s">
        <v>33</v>
      </c>
      <c r="C38" s="22" t="s">
        <v>34</v>
      </c>
    </row>
    <row r="39" spans="1:3" hidden="1" outlineLevel="1">
      <c r="A39" s="2" t="s">
        <v>4</v>
      </c>
      <c r="B39" s="6">
        <v>160</v>
      </c>
      <c r="C39">
        <f>SUM(B39*2)</f>
        <v>320</v>
      </c>
    </row>
    <row r="40" spans="1:3" hidden="1" outlineLevel="1">
      <c r="A40" s="2" t="s">
        <v>5</v>
      </c>
      <c r="B40" s="6" t="s">
        <v>35</v>
      </c>
      <c r="C40" s="3" t="str">
        <f t="shared" ref="C40:C41" si="9">SUM(IF(ISNUMBER( SEARCH("g",B40)), LEFT(B40, LEN(B40)-1)*1, "")*2)&amp;"g"</f>
        <v>26g</v>
      </c>
    </row>
    <row r="41" spans="1:3" hidden="1" outlineLevel="1">
      <c r="A41" s="2" t="s">
        <v>7</v>
      </c>
      <c r="B41" s="6" t="s">
        <v>6</v>
      </c>
      <c r="C41" s="3" t="str">
        <f t="shared" si="9"/>
        <v>4g</v>
      </c>
    </row>
    <row r="42" spans="1:3" hidden="1" outlineLevel="1">
      <c r="A42" s="2" t="s">
        <v>9</v>
      </c>
      <c r="B42" s="6" t="s">
        <v>23</v>
      </c>
      <c r="C42" s="3" t="str">
        <f>SUM(IF(ISNUMBER( SEARCH("mg",B42)), LEFT(B42, LEN(B42)-2)*1, "")*2)&amp;"mg"</f>
        <v>0mg</v>
      </c>
    </row>
    <row r="43" spans="1:3" hidden="1" outlineLevel="1">
      <c r="A43" s="2" t="s">
        <v>11</v>
      </c>
      <c r="B43" s="6" t="s">
        <v>36</v>
      </c>
      <c r="C43" s="3" t="str">
        <f>SUM(IF(ISNUMBER( SEARCH("mg",B43)), LEFT(B43, LEN(B43)-2)*1, "")*2)&amp;"mg"</f>
        <v>170mg</v>
      </c>
    </row>
    <row r="44" spans="1:3" hidden="1" outlineLevel="1">
      <c r="A44" s="2" t="s">
        <v>13</v>
      </c>
      <c r="B44" s="6" t="s">
        <v>16</v>
      </c>
      <c r="C44" s="3" t="str">
        <f t="shared" ref="C44:C47" si="10">SUM(IF(ISNUMBER( SEARCH("g",B44)), LEFT(B44, LEN(B44)-1)*1, "")*2)&amp;"g"</f>
        <v>14g</v>
      </c>
    </row>
    <row r="45" spans="1:3" hidden="1" outlineLevel="1">
      <c r="A45" s="2" t="s">
        <v>15</v>
      </c>
      <c r="B45" s="6" t="s">
        <v>6</v>
      </c>
      <c r="C45" s="3" t="str">
        <f t="shared" si="10"/>
        <v>4g</v>
      </c>
    </row>
    <row r="46" spans="1:3" hidden="1" outlineLevel="1">
      <c r="A46" s="2" t="s">
        <v>17</v>
      </c>
      <c r="B46" s="6" t="s">
        <v>37</v>
      </c>
      <c r="C46" s="3" t="str">
        <f t="shared" si="10"/>
        <v>8g</v>
      </c>
    </row>
    <row r="47" spans="1:3" hidden="1" outlineLevel="1">
      <c r="A47" s="2" t="s">
        <v>27</v>
      </c>
      <c r="B47" s="6" t="s">
        <v>6</v>
      </c>
      <c r="C47" s="3" t="str">
        <f t="shared" si="10"/>
        <v>4g</v>
      </c>
    </row>
    <row r="48" spans="1:3" hidden="1" outlineLevel="1">
      <c r="A48" s="2" t="s">
        <v>19</v>
      </c>
      <c r="B48" s="6" t="s">
        <v>16</v>
      </c>
      <c r="C48" s="3" t="str">
        <f>SUM(IF(ISNUMBER( SEARCH("g",B48)), LEFT(B48, LEN(B48)-1)*1, "")*2)&amp;"g"</f>
        <v>14g</v>
      </c>
    </row>
    <row r="49" spans="1:3" collapsed="1">
      <c r="A49" s="26" t="s">
        <v>38</v>
      </c>
      <c r="B49" s="26"/>
      <c r="C49" s="7"/>
    </row>
    <row r="50" spans="1:3" hidden="1" outlineLevel="1">
      <c r="A50" s="7" t="s">
        <v>1</v>
      </c>
      <c r="B50" s="22" t="s">
        <v>2</v>
      </c>
      <c r="C50" s="7"/>
    </row>
    <row r="51" spans="1:3" hidden="1" outlineLevel="1">
      <c r="A51" s="7" t="s">
        <v>4</v>
      </c>
      <c r="B51" s="6">
        <v>250</v>
      </c>
      <c r="C51" s="7"/>
    </row>
    <row r="52" spans="1:3" hidden="1" outlineLevel="1">
      <c r="A52" s="7" t="s">
        <v>5</v>
      </c>
      <c r="B52" s="6" t="s">
        <v>39</v>
      </c>
      <c r="C52" s="7"/>
    </row>
    <row r="53" spans="1:3" hidden="1" outlineLevel="1">
      <c r="A53" s="7" t="s">
        <v>7</v>
      </c>
      <c r="B53" s="6" t="s">
        <v>30</v>
      </c>
      <c r="C53" s="7"/>
    </row>
    <row r="54" spans="1:3" hidden="1" outlineLevel="1">
      <c r="A54" s="7" t="s">
        <v>9</v>
      </c>
      <c r="B54" s="6" t="s">
        <v>23</v>
      </c>
      <c r="C54" s="7"/>
    </row>
    <row r="55" spans="1:3" hidden="1" outlineLevel="1">
      <c r="A55" s="7" t="s">
        <v>11</v>
      </c>
      <c r="B55" s="6" t="s">
        <v>40</v>
      </c>
      <c r="C55" s="7"/>
    </row>
    <row r="56" spans="1:3" hidden="1" outlineLevel="1">
      <c r="A56" s="7" t="s">
        <v>13</v>
      </c>
      <c r="B56" s="6" t="s">
        <v>41</v>
      </c>
      <c r="C56" s="7"/>
    </row>
    <row r="57" spans="1:3" hidden="1" outlineLevel="1">
      <c r="A57" s="7" t="s">
        <v>15</v>
      </c>
      <c r="B57" s="6" t="s">
        <v>37</v>
      </c>
      <c r="C57" s="7"/>
    </row>
    <row r="58" spans="1:3" hidden="1" outlineLevel="1">
      <c r="A58" s="7" t="s">
        <v>17</v>
      </c>
      <c r="B58" s="6" t="s">
        <v>42</v>
      </c>
      <c r="C58" s="7"/>
    </row>
    <row r="59" spans="1:3" hidden="1" outlineLevel="1">
      <c r="A59" s="7" t="s">
        <v>27</v>
      </c>
      <c r="B59" s="6" t="s">
        <v>43</v>
      </c>
      <c r="C59" s="7"/>
    </row>
    <row r="60" spans="1:3" hidden="1" outlineLevel="1">
      <c r="A60" s="7" t="s">
        <v>19</v>
      </c>
      <c r="B60" s="6" t="s">
        <v>44</v>
      </c>
      <c r="C60" s="7"/>
    </row>
    <row r="61" spans="1:3" collapsed="1">
      <c r="A61" s="26" t="s">
        <v>45</v>
      </c>
      <c r="B61" s="26"/>
    </row>
    <row r="62" spans="1:3" hidden="1" outlineLevel="1">
      <c r="A62" s="7" t="s">
        <v>46</v>
      </c>
      <c r="B62" s="22" t="s">
        <v>2</v>
      </c>
    </row>
    <row r="63" spans="1:3" hidden="1" outlineLevel="1">
      <c r="A63" s="7" t="s">
        <v>47</v>
      </c>
      <c r="B63" s="6">
        <v>250</v>
      </c>
    </row>
    <row r="64" spans="1:3" hidden="1" outlineLevel="1">
      <c r="A64" s="7" t="s">
        <v>5</v>
      </c>
      <c r="B64" s="6" t="s">
        <v>48</v>
      </c>
    </row>
    <row r="65" spans="1:3" hidden="1" outlineLevel="1">
      <c r="A65" s="7" t="s">
        <v>7</v>
      </c>
      <c r="B65" s="6" t="s">
        <v>14</v>
      </c>
    </row>
    <row r="66" spans="1:3" hidden="1" outlineLevel="1">
      <c r="A66" s="7" t="s">
        <v>9</v>
      </c>
      <c r="B66" s="6" t="s">
        <v>23</v>
      </c>
    </row>
    <row r="67" spans="1:3" hidden="1" outlineLevel="1">
      <c r="A67" s="7" t="s">
        <v>49</v>
      </c>
      <c r="B67" s="6" t="s">
        <v>50</v>
      </c>
    </row>
    <row r="68" spans="1:3" hidden="1" outlineLevel="1">
      <c r="A68" s="7" t="s">
        <v>25</v>
      </c>
      <c r="B68" s="6" t="s">
        <v>51</v>
      </c>
    </row>
    <row r="69" spans="1:3" hidden="1" outlineLevel="1">
      <c r="A69" s="7" t="s">
        <v>15</v>
      </c>
      <c r="B69" s="6" t="s">
        <v>37</v>
      </c>
    </row>
    <row r="70" spans="1:3" hidden="1" outlineLevel="1">
      <c r="A70" s="7" t="s">
        <v>52</v>
      </c>
      <c r="B70" s="6" t="s">
        <v>53</v>
      </c>
    </row>
    <row r="71" spans="1:3" hidden="1" outlineLevel="1">
      <c r="A71" s="7" t="s">
        <v>27</v>
      </c>
      <c r="B71" s="6" t="s">
        <v>42</v>
      </c>
    </row>
    <row r="72" spans="1:3" hidden="1" outlineLevel="1">
      <c r="A72" s="7" t="s">
        <v>19</v>
      </c>
      <c r="B72" s="6" t="s">
        <v>44</v>
      </c>
    </row>
    <row r="73" spans="1:3" collapsed="1">
      <c r="A73" s="26" t="s">
        <v>54</v>
      </c>
      <c r="B73" s="26"/>
      <c r="C73" s="7"/>
    </row>
    <row r="74" spans="1:3" hidden="1" outlineLevel="1">
      <c r="A74" s="7" t="s">
        <v>1</v>
      </c>
      <c r="B74" s="22" t="s">
        <v>2</v>
      </c>
    </row>
    <row r="75" spans="1:3" hidden="1" outlineLevel="1">
      <c r="A75" s="7" t="s">
        <v>55</v>
      </c>
      <c r="B75" s="6">
        <v>260</v>
      </c>
    </row>
    <row r="76" spans="1:3" hidden="1" outlineLevel="1">
      <c r="A76" s="7" t="s">
        <v>5</v>
      </c>
      <c r="B76" s="6" t="s">
        <v>56</v>
      </c>
    </row>
    <row r="77" spans="1:3" hidden="1" outlineLevel="1">
      <c r="A77" s="7" t="s">
        <v>57</v>
      </c>
      <c r="B77" s="6" t="s">
        <v>30</v>
      </c>
    </row>
    <row r="78" spans="1:3" hidden="1" outlineLevel="1">
      <c r="A78" s="7" t="s">
        <v>49</v>
      </c>
      <c r="B78" s="6" t="s">
        <v>58</v>
      </c>
    </row>
    <row r="79" spans="1:3" hidden="1" outlineLevel="1">
      <c r="A79" s="7" t="s">
        <v>9</v>
      </c>
      <c r="B79" s="6" t="s">
        <v>23</v>
      </c>
    </row>
    <row r="80" spans="1:3" hidden="1" outlineLevel="1">
      <c r="A80" s="7" t="s">
        <v>25</v>
      </c>
      <c r="B80" s="6" t="s">
        <v>59</v>
      </c>
    </row>
    <row r="81" spans="1:2" hidden="1" outlineLevel="1">
      <c r="A81" s="7" t="s">
        <v>15</v>
      </c>
      <c r="B81" s="6" t="s">
        <v>37</v>
      </c>
    </row>
    <row r="82" spans="1:2" hidden="1" outlineLevel="1">
      <c r="A82" s="7" t="s">
        <v>17</v>
      </c>
      <c r="B82" s="6" t="s">
        <v>53</v>
      </c>
    </row>
    <row r="83" spans="1:2" hidden="1" outlineLevel="1">
      <c r="A83" s="7" t="s">
        <v>60</v>
      </c>
      <c r="B83" s="6" t="s">
        <v>42</v>
      </c>
    </row>
    <row r="84" spans="1:2" hidden="1" outlineLevel="1">
      <c r="A84" s="7" t="s">
        <v>19</v>
      </c>
      <c r="B84" s="6" t="s">
        <v>44</v>
      </c>
    </row>
    <row r="85" spans="1:2" collapsed="1">
      <c r="A85" s="26" t="s">
        <v>61</v>
      </c>
      <c r="B85" s="26"/>
    </row>
    <row r="86" spans="1:2" hidden="1" outlineLevel="1">
      <c r="A86" s="2" t="s">
        <v>1</v>
      </c>
      <c r="B86" s="22" t="s">
        <v>62</v>
      </c>
    </row>
    <row r="87" spans="1:2" hidden="1" outlineLevel="1">
      <c r="A87" s="2" t="s">
        <v>4</v>
      </c>
      <c r="B87" s="6">
        <v>140</v>
      </c>
    </row>
    <row r="88" spans="1:2" hidden="1" outlineLevel="1">
      <c r="A88" s="2" t="s">
        <v>5</v>
      </c>
      <c r="B88" s="6" t="s">
        <v>63</v>
      </c>
    </row>
    <row r="89" spans="1:2" hidden="1" outlineLevel="1">
      <c r="A89" s="2" t="s">
        <v>7</v>
      </c>
      <c r="B89" s="6" t="s">
        <v>14</v>
      </c>
    </row>
    <row r="90" spans="1:2" hidden="1" outlineLevel="1">
      <c r="A90" s="2" t="s">
        <v>9</v>
      </c>
      <c r="B90" s="6" t="s">
        <v>23</v>
      </c>
    </row>
    <row r="91" spans="1:2" hidden="1" outlineLevel="1">
      <c r="A91" s="2" t="s">
        <v>11</v>
      </c>
      <c r="B91" s="6" t="s">
        <v>64</v>
      </c>
    </row>
    <row r="92" spans="1:2" hidden="1" outlineLevel="1">
      <c r="A92" s="2" t="s">
        <v>13</v>
      </c>
      <c r="B92" s="6" t="s">
        <v>65</v>
      </c>
    </row>
    <row r="93" spans="1:2" hidden="1" outlineLevel="1">
      <c r="A93" s="2" t="s">
        <v>15</v>
      </c>
      <c r="B93" s="6" t="s">
        <v>14</v>
      </c>
    </row>
    <row r="94" spans="1:2" hidden="1" outlineLevel="1">
      <c r="A94" s="2" t="s">
        <v>17</v>
      </c>
      <c r="B94" s="6" t="s">
        <v>66</v>
      </c>
    </row>
    <row r="95" spans="1:2" hidden="1" outlineLevel="1">
      <c r="A95" s="2" t="s">
        <v>27</v>
      </c>
      <c r="B95" s="6" t="s">
        <v>66</v>
      </c>
    </row>
    <row r="96" spans="1:2" hidden="1" outlineLevel="1">
      <c r="A96" s="2" t="s">
        <v>19</v>
      </c>
      <c r="B96" s="6" t="s">
        <v>6</v>
      </c>
    </row>
    <row r="97" spans="1:2" collapsed="1">
      <c r="A97" s="26" t="s">
        <v>67</v>
      </c>
      <c r="B97" s="26"/>
    </row>
    <row r="98" spans="1:2" hidden="1" outlineLevel="1">
      <c r="A98" s="7" t="s">
        <v>1</v>
      </c>
      <c r="B98" s="22" t="s">
        <v>68</v>
      </c>
    </row>
    <row r="99" spans="1:2" hidden="1" outlineLevel="1">
      <c r="A99" s="7" t="s">
        <v>4</v>
      </c>
      <c r="B99" s="6">
        <v>150</v>
      </c>
    </row>
    <row r="100" spans="1:2" hidden="1" outlineLevel="1">
      <c r="A100" s="7" t="s">
        <v>5</v>
      </c>
      <c r="B100" s="6" t="s">
        <v>63</v>
      </c>
    </row>
    <row r="101" spans="1:2" hidden="1" outlineLevel="1">
      <c r="A101" s="7" t="s">
        <v>7</v>
      </c>
      <c r="B101" s="6" t="s">
        <v>14</v>
      </c>
    </row>
    <row r="102" spans="1:2" hidden="1" outlineLevel="1">
      <c r="A102" s="7" t="s">
        <v>9</v>
      </c>
      <c r="B102" s="6" t="s">
        <v>23</v>
      </c>
    </row>
    <row r="103" spans="1:2" hidden="1" outlineLevel="1">
      <c r="A103" s="7" t="s">
        <v>11</v>
      </c>
      <c r="B103" s="6" t="s">
        <v>69</v>
      </c>
    </row>
    <row r="104" spans="1:2" hidden="1" outlineLevel="1">
      <c r="A104" s="7" t="s">
        <v>13</v>
      </c>
      <c r="B104" s="6" t="s">
        <v>43</v>
      </c>
    </row>
    <row r="105" spans="1:2" hidden="1" outlineLevel="1">
      <c r="A105" s="7" t="s">
        <v>15</v>
      </c>
      <c r="B105" s="6" t="s">
        <v>6</v>
      </c>
    </row>
    <row r="106" spans="1:2" hidden="1" outlineLevel="1">
      <c r="A106" s="7" t="s">
        <v>17</v>
      </c>
      <c r="B106" s="6" t="s">
        <v>43</v>
      </c>
    </row>
    <row r="107" spans="1:2" hidden="1" outlineLevel="1">
      <c r="A107" s="2" t="s">
        <v>27</v>
      </c>
      <c r="B107" s="6" t="s">
        <v>43</v>
      </c>
    </row>
    <row r="108" spans="1:2" hidden="1" outlineLevel="1">
      <c r="A108" s="2" t="s">
        <v>19</v>
      </c>
      <c r="B108" s="6" t="s">
        <v>43</v>
      </c>
    </row>
    <row r="109" spans="1:2" collapsed="1">
      <c r="A109" s="26" t="s">
        <v>70</v>
      </c>
      <c r="B109" s="26"/>
    </row>
    <row r="110" spans="1:2" hidden="1" outlineLevel="1">
      <c r="A110" s="2" t="s">
        <v>1</v>
      </c>
      <c r="B110" s="22" t="s">
        <v>71</v>
      </c>
    </row>
    <row r="111" spans="1:2" hidden="1" outlineLevel="1">
      <c r="A111" s="2" t="s">
        <v>4</v>
      </c>
      <c r="B111" s="2">
        <v>120</v>
      </c>
    </row>
    <row r="112" spans="1:2" hidden="1" outlineLevel="1">
      <c r="A112" s="2" t="s">
        <v>5</v>
      </c>
      <c r="B112" s="6" t="s">
        <v>6</v>
      </c>
    </row>
    <row r="113" spans="1:2" hidden="1" outlineLevel="1">
      <c r="A113" s="2" t="s">
        <v>7</v>
      </c>
      <c r="B113" s="6" t="s">
        <v>6</v>
      </c>
    </row>
    <row r="114" spans="1:2" hidden="1" outlineLevel="1">
      <c r="A114" s="2" t="s">
        <v>9</v>
      </c>
      <c r="B114" s="6" t="s">
        <v>23</v>
      </c>
    </row>
    <row r="115" spans="1:2" hidden="1" outlineLevel="1">
      <c r="A115" s="2" t="s">
        <v>11</v>
      </c>
      <c r="B115" s="6" t="s">
        <v>72</v>
      </c>
    </row>
    <row r="116" spans="1:2" hidden="1" outlineLevel="1">
      <c r="A116" s="2" t="s">
        <v>13</v>
      </c>
      <c r="B116" s="6" t="s">
        <v>73</v>
      </c>
    </row>
    <row r="117" spans="1:2" hidden="1" outlineLevel="1">
      <c r="A117" s="2" t="s">
        <v>15</v>
      </c>
      <c r="B117" s="6" t="s">
        <v>66</v>
      </c>
    </row>
    <row r="118" spans="1:2" hidden="1" outlineLevel="1">
      <c r="A118" s="2" t="s">
        <v>17</v>
      </c>
      <c r="B118" s="6" t="s">
        <v>43</v>
      </c>
    </row>
    <row r="119" spans="1:2" hidden="1" outlineLevel="1">
      <c r="A119" s="2" t="s">
        <v>27</v>
      </c>
      <c r="B119" s="6" t="s">
        <v>66</v>
      </c>
    </row>
    <row r="120" spans="1:2" hidden="1" outlineLevel="1">
      <c r="A120" s="2" t="s">
        <v>19</v>
      </c>
      <c r="B120" s="6" t="s">
        <v>66</v>
      </c>
    </row>
    <row r="121" spans="1:2" collapsed="1">
      <c r="A121" s="26" t="s">
        <v>74</v>
      </c>
      <c r="B121" s="26"/>
    </row>
    <row r="122" spans="1:2" hidden="1" outlineLevel="1">
      <c r="A122" s="2" t="s">
        <v>1</v>
      </c>
      <c r="B122" s="22" t="s">
        <v>71</v>
      </c>
    </row>
    <row r="123" spans="1:2" hidden="1" outlineLevel="1">
      <c r="A123" s="2" t="s">
        <v>4</v>
      </c>
      <c r="B123" s="6">
        <v>130</v>
      </c>
    </row>
    <row r="124" spans="1:2" hidden="1" outlineLevel="1">
      <c r="A124" s="2" t="s">
        <v>5</v>
      </c>
      <c r="B124" s="6" t="s">
        <v>75</v>
      </c>
    </row>
    <row r="125" spans="1:2" hidden="1" outlineLevel="1">
      <c r="A125" s="2" t="s">
        <v>7</v>
      </c>
      <c r="B125" s="6" t="s">
        <v>6</v>
      </c>
    </row>
    <row r="126" spans="1:2" hidden="1" outlineLevel="1">
      <c r="A126" s="2" t="s">
        <v>9</v>
      </c>
      <c r="B126" s="6" t="s">
        <v>23</v>
      </c>
    </row>
    <row r="127" spans="1:2" hidden="1" outlineLevel="1">
      <c r="A127" s="2" t="s">
        <v>11</v>
      </c>
      <c r="B127" s="6" t="s">
        <v>72</v>
      </c>
    </row>
    <row r="128" spans="1:2" hidden="1" outlineLevel="1">
      <c r="A128" s="2" t="s">
        <v>13</v>
      </c>
      <c r="B128" s="6" t="s">
        <v>76</v>
      </c>
    </row>
    <row r="129" spans="1:2" hidden="1" outlineLevel="1">
      <c r="A129" s="2" t="s">
        <v>15</v>
      </c>
      <c r="B129" s="6" t="s">
        <v>14</v>
      </c>
    </row>
    <row r="130" spans="1:2" hidden="1" outlineLevel="1">
      <c r="A130" s="2" t="s">
        <v>17</v>
      </c>
      <c r="B130" s="6" t="s">
        <v>53</v>
      </c>
    </row>
    <row r="131" spans="1:2" hidden="1" outlineLevel="1">
      <c r="A131" s="2" t="s">
        <v>27</v>
      </c>
      <c r="B131" s="6" t="s">
        <v>66</v>
      </c>
    </row>
    <row r="132" spans="1:2" hidden="1" outlineLevel="1">
      <c r="A132" s="2" t="s">
        <v>19</v>
      </c>
      <c r="B132" s="6" t="s">
        <v>66</v>
      </c>
    </row>
    <row r="133" spans="1:2" collapsed="1">
      <c r="A133" s="26" t="s">
        <v>77</v>
      </c>
      <c r="B133" s="26"/>
    </row>
    <row r="134" spans="1:2" hidden="1" outlineLevel="1">
      <c r="A134" s="7" t="s">
        <v>1</v>
      </c>
      <c r="B134" s="22" t="s">
        <v>78</v>
      </c>
    </row>
    <row r="135" spans="1:2" hidden="1" outlineLevel="1">
      <c r="A135" s="7" t="s">
        <v>4</v>
      </c>
      <c r="B135" s="6">
        <v>70</v>
      </c>
    </row>
    <row r="136" spans="1:2" hidden="1" outlineLevel="1">
      <c r="A136" s="7" t="s">
        <v>5</v>
      </c>
      <c r="B136" s="6" t="s">
        <v>66</v>
      </c>
    </row>
    <row r="137" spans="1:2" hidden="1" outlineLevel="1">
      <c r="A137" s="7" t="s">
        <v>7</v>
      </c>
      <c r="B137" s="6" t="s">
        <v>66</v>
      </c>
    </row>
    <row r="138" spans="1:2" hidden="1" outlineLevel="1">
      <c r="A138" s="7" t="s">
        <v>9</v>
      </c>
      <c r="B138" s="6" t="s">
        <v>23</v>
      </c>
    </row>
    <row r="139" spans="1:2" hidden="1" outlineLevel="1">
      <c r="A139" s="7" t="s">
        <v>11</v>
      </c>
      <c r="B139" s="6" t="s">
        <v>23</v>
      </c>
    </row>
    <row r="140" spans="1:2" hidden="1" outlineLevel="1">
      <c r="A140" s="7" t="s">
        <v>13</v>
      </c>
      <c r="B140" s="6" t="s">
        <v>65</v>
      </c>
    </row>
    <row r="141" spans="1:2" hidden="1" outlineLevel="1">
      <c r="A141" s="7" t="s">
        <v>15</v>
      </c>
      <c r="B141" s="6" t="s">
        <v>14</v>
      </c>
    </row>
    <row r="142" spans="1:2" hidden="1" outlineLevel="1">
      <c r="A142" s="7" t="s">
        <v>17</v>
      </c>
      <c r="B142" s="6" t="s">
        <v>79</v>
      </c>
    </row>
    <row r="143" spans="1:2" hidden="1" outlineLevel="1">
      <c r="A143" s="7" t="s">
        <v>27</v>
      </c>
      <c r="B143" s="6" t="s">
        <v>66</v>
      </c>
    </row>
    <row r="144" spans="1:2" hidden="1" outlineLevel="1">
      <c r="A144" s="7" t="s">
        <v>19</v>
      </c>
      <c r="B144" s="6" t="s">
        <v>14</v>
      </c>
    </row>
    <row r="145" spans="1:3" collapsed="1">
      <c r="A145" s="26" t="s">
        <v>80</v>
      </c>
      <c r="B145" s="26"/>
    </row>
    <row r="146" spans="1:3" hidden="1" outlineLevel="1">
      <c r="A146" s="7" t="s">
        <v>1</v>
      </c>
      <c r="B146" s="22" t="s">
        <v>81</v>
      </c>
    </row>
    <row r="147" spans="1:3" hidden="1" outlineLevel="1">
      <c r="A147" s="7" t="s">
        <v>4</v>
      </c>
      <c r="B147" s="6">
        <v>102</v>
      </c>
    </row>
    <row r="148" spans="1:3" hidden="1" outlineLevel="1">
      <c r="A148" s="7" t="s">
        <v>5</v>
      </c>
      <c r="B148" s="6" t="s">
        <v>14</v>
      </c>
    </row>
    <row r="149" spans="1:3" hidden="1" outlineLevel="1">
      <c r="A149" s="7" t="s">
        <v>7</v>
      </c>
      <c r="B149" s="6" t="s">
        <v>66</v>
      </c>
    </row>
    <row r="150" spans="1:3" hidden="1" outlineLevel="1">
      <c r="A150" s="7" t="s">
        <v>9</v>
      </c>
      <c r="B150" s="6" t="s">
        <v>66</v>
      </c>
    </row>
    <row r="151" spans="1:3" hidden="1" outlineLevel="1">
      <c r="A151" s="7" t="s">
        <v>11</v>
      </c>
      <c r="B151" s="6" t="s">
        <v>82</v>
      </c>
    </row>
    <row r="152" spans="1:3" hidden="1" outlineLevel="1">
      <c r="A152" s="7" t="s">
        <v>13</v>
      </c>
      <c r="B152" s="6" t="s">
        <v>73</v>
      </c>
    </row>
    <row r="153" spans="1:3" hidden="1" outlineLevel="1">
      <c r="A153" s="7" t="s">
        <v>15</v>
      </c>
      <c r="B153" s="6" t="s">
        <v>39</v>
      </c>
    </row>
    <row r="154" spans="1:3" hidden="1" outlineLevel="1">
      <c r="A154" s="7" t="s">
        <v>17</v>
      </c>
      <c r="B154" s="6" t="s">
        <v>26</v>
      </c>
    </row>
    <row r="155" spans="1:3" hidden="1" outlineLevel="1">
      <c r="A155" s="7" t="s">
        <v>27</v>
      </c>
      <c r="B155" s="6" t="s">
        <v>66</v>
      </c>
    </row>
    <row r="156" spans="1:3" hidden="1" outlineLevel="1">
      <c r="A156" s="7" t="s">
        <v>19</v>
      </c>
      <c r="B156" s="6" t="s">
        <v>14</v>
      </c>
    </row>
    <row r="157" spans="1:3" collapsed="1">
      <c r="A157" s="26" t="s">
        <v>83</v>
      </c>
      <c r="B157" s="26"/>
    </row>
    <row r="158" spans="1:3" hidden="1" outlineLevel="1">
      <c r="A158" s="2" t="s">
        <v>1</v>
      </c>
      <c r="B158" s="22" t="s">
        <v>84</v>
      </c>
      <c r="C158" s="22" t="s">
        <v>85</v>
      </c>
    </row>
    <row r="159" spans="1:3" hidden="1" outlineLevel="1">
      <c r="A159" s="2" t="s">
        <v>4</v>
      </c>
      <c r="B159" s="6">
        <v>80</v>
      </c>
      <c r="C159">
        <f>SUM(B159*2)</f>
        <v>160</v>
      </c>
    </row>
    <row r="160" spans="1:3" hidden="1" outlineLevel="1">
      <c r="A160" s="2" t="s">
        <v>5</v>
      </c>
      <c r="B160" s="6" t="s">
        <v>66</v>
      </c>
      <c r="C160" s="3" t="str">
        <f>SUM(IF(ISNUMBER( SEARCH("g",B160)), LEFT(B160, LEN(B160)-1)*1, "")*2)&amp;"g"</f>
        <v>0g</v>
      </c>
    </row>
    <row r="161" spans="1:3" hidden="1" outlineLevel="1">
      <c r="A161" s="2" t="s">
        <v>7</v>
      </c>
      <c r="B161" s="6" t="s">
        <v>66</v>
      </c>
      <c r="C161" s="3" t="str">
        <f>SUM(IF(ISNUMBER( SEARCH("g",B161)), LEFT(B161, LEN(B161)-1)*1, "")*2)&amp;"g"</f>
        <v>0g</v>
      </c>
    </row>
    <row r="162" spans="1:3" hidden="1" outlineLevel="1">
      <c r="A162" s="2" t="s">
        <v>9</v>
      </c>
      <c r="B162" s="6" t="s">
        <v>23</v>
      </c>
      <c r="C162" s="3" t="str">
        <f>SUM(IF(ISNUMBER( SEARCH("mg",B162)), LEFT(B162, LEN(B162)-2)*1, "")*2)&amp;"mg"</f>
        <v>0mg</v>
      </c>
    </row>
    <row r="163" spans="1:3" hidden="1" outlineLevel="1">
      <c r="A163" s="2" t="s">
        <v>11</v>
      </c>
      <c r="B163" s="6" t="s">
        <v>86</v>
      </c>
      <c r="C163" s="3" t="str">
        <f>SUM(IF(ISNUMBER( SEARCH("mg",B163)), LEFT(B163, LEN(B163)-2)*1, "")*2)&amp;"mg"</f>
        <v>30mg</v>
      </c>
    </row>
    <row r="164" spans="1:3" hidden="1" outlineLevel="1">
      <c r="A164" s="2" t="s">
        <v>13</v>
      </c>
      <c r="B164" s="6" t="s">
        <v>53</v>
      </c>
      <c r="C164" s="3" t="str">
        <f t="shared" ref="C163:C168" si="11">SUM(IF(ISNUMBER( SEARCH("g",B164)), LEFT(B164, LEN(B164)-1)*1, "")*2)&amp;"g"</f>
        <v>40g</v>
      </c>
    </row>
    <row r="165" spans="1:3" hidden="1" outlineLevel="1">
      <c r="A165" s="2" t="s">
        <v>15</v>
      </c>
      <c r="B165" s="6" t="s">
        <v>14</v>
      </c>
      <c r="C165" s="3" t="str">
        <f t="shared" si="11"/>
        <v>2g</v>
      </c>
    </row>
    <row r="166" spans="1:3" hidden="1" outlineLevel="1">
      <c r="A166" s="2" t="s">
        <v>17</v>
      </c>
      <c r="B166" s="6" t="s">
        <v>53</v>
      </c>
      <c r="C166" s="3" t="str">
        <f t="shared" si="11"/>
        <v>40g</v>
      </c>
    </row>
    <row r="167" spans="1:3" hidden="1" outlineLevel="1">
      <c r="A167" s="2" t="s">
        <v>27</v>
      </c>
      <c r="B167" s="6" t="s">
        <v>87</v>
      </c>
      <c r="C167" s="3" t="str">
        <f t="shared" si="11"/>
        <v>24g</v>
      </c>
    </row>
    <row r="168" spans="1:3" hidden="1" outlineLevel="1">
      <c r="A168" s="2" t="s">
        <v>19</v>
      </c>
      <c r="B168" s="6" t="s">
        <v>66</v>
      </c>
      <c r="C168" s="3" t="str">
        <f t="shared" si="11"/>
        <v>0g</v>
      </c>
    </row>
    <row r="169" spans="1:3" collapsed="1">
      <c r="A169" s="26" t="s">
        <v>88</v>
      </c>
      <c r="B169" s="26"/>
    </row>
    <row r="170" spans="1:3" hidden="1" outlineLevel="1">
      <c r="A170" s="23" t="s">
        <v>1</v>
      </c>
      <c r="B170" s="22" t="s">
        <v>89</v>
      </c>
    </row>
    <row r="171" spans="1:3" hidden="1" outlineLevel="1">
      <c r="A171" s="23" t="s">
        <v>4</v>
      </c>
      <c r="B171" s="22">
        <v>260</v>
      </c>
    </row>
    <row r="172" spans="1:3" hidden="1" outlineLevel="1">
      <c r="A172" s="23" t="s">
        <v>5</v>
      </c>
      <c r="B172" s="22" t="s">
        <v>35</v>
      </c>
    </row>
    <row r="173" spans="1:3" hidden="1" outlineLevel="1">
      <c r="A173" s="23" t="s">
        <v>7</v>
      </c>
      <c r="B173" s="22" t="s">
        <v>48</v>
      </c>
    </row>
    <row r="174" spans="1:3" hidden="1" outlineLevel="1">
      <c r="A174" s="23" t="s">
        <v>9</v>
      </c>
      <c r="B174" s="22" t="s">
        <v>90</v>
      </c>
    </row>
    <row r="175" spans="1:3" hidden="1" outlineLevel="1">
      <c r="A175" s="23" t="s">
        <v>11</v>
      </c>
      <c r="B175" s="22" t="s">
        <v>58</v>
      </c>
    </row>
    <row r="176" spans="1:3" hidden="1" outlineLevel="1">
      <c r="A176" s="23" t="s">
        <v>13</v>
      </c>
      <c r="B176" s="22" t="s">
        <v>91</v>
      </c>
    </row>
    <row r="177" spans="1:2" hidden="1" outlineLevel="1">
      <c r="A177" s="23" t="s">
        <v>15</v>
      </c>
      <c r="B177" s="22" t="s">
        <v>14</v>
      </c>
    </row>
    <row r="178" spans="1:2" hidden="1" outlineLevel="1">
      <c r="A178" s="23" t="s">
        <v>17</v>
      </c>
      <c r="B178" s="22" t="s">
        <v>92</v>
      </c>
    </row>
    <row r="179" spans="1:2" hidden="1" outlineLevel="1">
      <c r="A179" s="23" t="s">
        <v>27</v>
      </c>
      <c r="B179" s="22" t="s">
        <v>53</v>
      </c>
    </row>
    <row r="180" spans="1:2" hidden="1" outlineLevel="1">
      <c r="A180" s="23" t="s">
        <v>19</v>
      </c>
      <c r="B180" s="22" t="s">
        <v>6</v>
      </c>
    </row>
    <row r="181" spans="1:2" collapsed="1">
      <c r="A181" s="26" t="s">
        <v>93</v>
      </c>
      <c r="B181" s="26"/>
    </row>
    <row r="182" spans="1:2" hidden="1" outlineLevel="1">
      <c r="A182" s="23" t="s">
        <v>1</v>
      </c>
      <c r="B182" s="22" t="s">
        <v>94</v>
      </c>
    </row>
    <row r="183" spans="1:2" hidden="1" outlineLevel="1">
      <c r="A183" s="23" t="s">
        <v>4</v>
      </c>
      <c r="B183" s="22">
        <v>130</v>
      </c>
    </row>
    <row r="184" spans="1:2" hidden="1" outlineLevel="1">
      <c r="A184" s="23" t="s">
        <v>5</v>
      </c>
      <c r="B184" s="22" t="s">
        <v>39</v>
      </c>
    </row>
    <row r="185" spans="1:2" hidden="1" outlineLevel="1">
      <c r="A185" s="23" t="s">
        <v>7</v>
      </c>
      <c r="B185" s="22" t="s">
        <v>30</v>
      </c>
    </row>
    <row r="186" spans="1:2" hidden="1" outlineLevel="1">
      <c r="A186" s="23" t="s">
        <v>9</v>
      </c>
      <c r="B186" s="22" t="s">
        <v>23</v>
      </c>
    </row>
    <row r="187" spans="1:2" hidden="1" outlineLevel="1">
      <c r="A187" s="23" t="s">
        <v>11</v>
      </c>
      <c r="B187" s="22" t="s">
        <v>95</v>
      </c>
    </row>
    <row r="188" spans="1:2" hidden="1" outlineLevel="1">
      <c r="A188" s="23" t="s">
        <v>13</v>
      </c>
      <c r="B188" s="22" t="s">
        <v>53</v>
      </c>
    </row>
    <row r="189" spans="1:2" hidden="1" outlineLevel="1">
      <c r="A189" s="23" t="s">
        <v>15</v>
      </c>
      <c r="B189" s="22" t="s">
        <v>66</v>
      </c>
    </row>
    <row r="190" spans="1:2" hidden="1" outlineLevel="1">
      <c r="A190" s="23" t="s">
        <v>17</v>
      </c>
      <c r="B190" s="22" t="s">
        <v>96</v>
      </c>
    </row>
    <row r="191" spans="1:2" hidden="1" outlineLevel="1">
      <c r="A191" s="23" t="s">
        <v>27</v>
      </c>
      <c r="B191" s="22" t="s">
        <v>96</v>
      </c>
    </row>
    <row r="192" spans="1:2" hidden="1" outlineLevel="1">
      <c r="A192" s="23" t="s">
        <v>19</v>
      </c>
      <c r="B192" s="22" t="s">
        <v>14</v>
      </c>
    </row>
    <row r="193" spans="1:2" collapsed="1">
      <c r="A193" s="26" t="s">
        <v>97</v>
      </c>
      <c r="B193" s="26"/>
    </row>
    <row r="194" spans="1:2" hidden="1" outlineLevel="1">
      <c r="A194" s="23" t="s">
        <v>1</v>
      </c>
      <c r="B194" s="22" t="s">
        <v>98</v>
      </c>
    </row>
    <row r="195" spans="1:2" hidden="1" outlineLevel="1">
      <c r="A195" s="23" t="s">
        <v>4</v>
      </c>
      <c r="B195" s="22">
        <v>140</v>
      </c>
    </row>
    <row r="196" spans="1:2" hidden="1" outlineLevel="1">
      <c r="A196" s="23" t="s">
        <v>5</v>
      </c>
      <c r="B196" s="22" t="s">
        <v>39</v>
      </c>
    </row>
    <row r="197" spans="1:2" hidden="1" outlineLevel="1">
      <c r="A197" s="23" t="s">
        <v>7</v>
      </c>
      <c r="B197" s="22" t="s">
        <v>30</v>
      </c>
    </row>
    <row r="198" spans="1:2" hidden="1" outlineLevel="1">
      <c r="A198" s="23" t="s">
        <v>9</v>
      </c>
      <c r="B198" s="22" t="s">
        <v>23</v>
      </c>
    </row>
    <row r="199" spans="1:2" hidden="1" outlineLevel="1">
      <c r="A199" s="23" t="s">
        <v>11</v>
      </c>
      <c r="B199" s="22" t="s">
        <v>95</v>
      </c>
    </row>
    <row r="200" spans="1:2" hidden="1" outlineLevel="1">
      <c r="A200" s="23" t="s">
        <v>13</v>
      </c>
      <c r="B200" s="22" t="s">
        <v>53</v>
      </c>
    </row>
    <row r="201" spans="1:2" hidden="1" outlineLevel="1">
      <c r="A201" s="23" t="s">
        <v>15</v>
      </c>
      <c r="B201" s="22" t="s">
        <v>66</v>
      </c>
    </row>
    <row r="202" spans="1:2" hidden="1" outlineLevel="1">
      <c r="A202" s="23" t="s">
        <v>17</v>
      </c>
      <c r="B202" s="22" t="s">
        <v>63</v>
      </c>
    </row>
    <row r="203" spans="1:2" hidden="1" outlineLevel="1">
      <c r="A203" s="23" t="s">
        <v>27</v>
      </c>
      <c r="B203" s="22" t="s">
        <v>63</v>
      </c>
    </row>
    <row r="204" spans="1:2" hidden="1" outlineLevel="1">
      <c r="A204" s="23" t="s">
        <v>19</v>
      </c>
      <c r="B204" s="22" t="s">
        <v>6</v>
      </c>
    </row>
    <row r="205" spans="1:2" collapsed="1">
      <c r="A205" s="26" t="s">
        <v>99</v>
      </c>
      <c r="B205" s="26"/>
    </row>
    <row r="206" spans="1:2" hidden="1" outlineLevel="1">
      <c r="A206" s="23" t="s">
        <v>1</v>
      </c>
      <c r="B206" s="22" t="s">
        <v>100</v>
      </c>
    </row>
    <row r="207" spans="1:2" hidden="1" outlineLevel="1">
      <c r="A207" s="23" t="s">
        <v>4</v>
      </c>
      <c r="B207" s="22">
        <v>200</v>
      </c>
    </row>
    <row r="208" spans="1:2" hidden="1" outlineLevel="1">
      <c r="A208" s="23" t="s">
        <v>5</v>
      </c>
      <c r="B208" s="22" t="s">
        <v>63</v>
      </c>
    </row>
    <row r="209" spans="1:2" hidden="1" outlineLevel="1">
      <c r="A209" s="23" t="s">
        <v>7</v>
      </c>
      <c r="B209" s="22" t="s">
        <v>14</v>
      </c>
    </row>
    <row r="210" spans="1:2" hidden="1" outlineLevel="1">
      <c r="A210" s="23" t="s">
        <v>9</v>
      </c>
      <c r="B210" s="22" t="s">
        <v>23</v>
      </c>
    </row>
    <row r="211" spans="1:2" hidden="1" outlineLevel="1">
      <c r="A211" s="23" t="s">
        <v>11</v>
      </c>
      <c r="B211" s="22" t="s">
        <v>101</v>
      </c>
    </row>
    <row r="212" spans="1:2" hidden="1" outlineLevel="1">
      <c r="A212" s="23" t="s">
        <v>13</v>
      </c>
      <c r="B212" s="22" t="s">
        <v>102</v>
      </c>
    </row>
    <row r="213" spans="1:2" hidden="1" outlineLevel="1">
      <c r="A213" s="23" t="s">
        <v>15</v>
      </c>
      <c r="B213" s="22" t="s">
        <v>37</v>
      </c>
    </row>
    <row r="214" spans="1:2" hidden="1" outlineLevel="1">
      <c r="A214" s="23" t="s">
        <v>17</v>
      </c>
      <c r="B214" s="22" t="s">
        <v>44</v>
      </c>
    </row>
    <row r="215" spans="1:2" hidden="1" outlineLevel="1">
      <c r="A215" s="23" t="s">
        <v>27</v>
      </c>
      <c r="B215" s="22" t="s">
        <v>16</v>
      </c>
    </row>
    <row r="216" spans="1:2" hidden="1" outlineLevel="1">
      <c r="A216" s="23" t="s">
        <v>19</v>
      </c>
      <c r="B216" s="22" t="s">
        <v>22</v>
      </c>
    </row>
    <row r="217" spans="1:2" collapsed="1">
      <c r="A217" s="26" t="s">
        <v>103</v>
      </c>
      <c r="B217" s="26"/>
    </row>
    <row r="218" spans="1:2" hidden="1" outlineLevel="1">
      <c r="A218" s="23" t="s">
        <v>1</v>
      </c>
      <c r="B218" s="22" t="s">
        <v>104</v>
      </c>
    </row>
    <row r="219" spans="1:2" hidden="1" outlineLevel="1">
      <c r="A219" s="23" t="s">
        <v>4</v>
      </c>
      <c r="B219" s="22">
        <v>150</v>
      </c>
    </row>
    <row r="220" spans="1:2" hidden="1" outlineLevel="1">
      <c r="A220" s="23" t="s">
        <v>5</v>
      </c>
      <c r="B220" s="22" t="s">
        <v>16</v>
      </c>
    </row>
    <row r="221" spans="1:2" hidden="1" outlineLevel="1">
      <c r="A221" s="23" t="s">
        <v>7</v>
      </c>
      <c r="B221" s="22" t="s">
        <v>6</v>
      </c>
    </row>
    <row r="222" spans="1:2" hidden="1" outlineLevel="1">
      <c r="A222" s="23" t="s">
        <v>9</v>
      </c>
      <c r="B222" s="22" t="s">
        <v>23</v>
      </c>
    </row>
    <row r="223" spans="1:2" hidden="1" outlineLevel="1">
      <c r="A223" s="23" t="s">
        <v>11</v>
      </c>
      <c r="B223" s="22" t="s">
        <v>69</v>
      </c>
    </row>
    <row r="224" spans="1:2" hidden="1" outlineLevel="1">
      <c r="A224" s="23" t="s">
        <v>13</v>
      </c>
      <c r="B224" s="22" t="s">
        <v>105</v>
      </c>
    </row>
    <row r="225" spans="1:2" hidden="1" outlineLevel="1">
      <c r="A225" s="23" t="s">
        <v>15</v>
      </c>
      <c r="B225" s="22" t="s">
        <v>37</v>
      </c>
    </row>
    <row r="226" spans="1:2" hidden="1" outlineLevel="1">
      <c r="A226" s="23" t="s">
        <v>17</v>
      </c>
      <c r="B226" s="22" t="s">
        <v>44</v>
      </c>
    </row>
    <row r="227" spans="1:2" hidden="1" outlineLevel="1">
      <c r="A227" s="23" t="s">
        <v>27</v>
      </c>
      <c r="B227" s="22" t="s">
        <v>63</v>
      </c>
    </row>
    <row r="228" spans="1:2" hidden="1" outlineLevel="1">
      <c r="A228" s="23" t="s">
        <v>19</v>
      </c>
      <c r="B228" s="22" t="s">
        <v>6</v>
      </c>
    </row>
    <row r="229" spans="1:2" collapsed="1">
      <c r="A229" s="26" t="s">
        <v>106</v>
      </c>
      <c r="B229" s="26"/>
    </row>
    <row r="230" spans="1:2" hidden="1" outlineLevel="1">
      <c r="A230" s="23" t="s">
        <v>1</v>
      </c>
      <c r="B230" s="22" t="s">
        <v>107</v>
      </c>
    </row>
    <row r="231" spans="1:2" hidden="1" outlineLevel="1">
      <c r="A231" s="23" t="s">
        <v>4</v>
      </c>
      <c r="B231" s="22">
        <v>100</v>
      </c>
    </row>
    <row r="232" spans="1:2" hidden="1" outlineLevel="1">
      <c r="A232" s="23" t="s">
        <v>5</v>
      </c>
      <c r="B232" s="22" t="s">
        <v>29</v>
      </c>
    </row>
    <row r="233" spans="1:2" hidden="1" outlineLevel="1">
      <c r="A233" s="23" t="s">
        <v>7</v>
      </c>
      <c r="B233" s="22" t="s">
        <v>30</v>
      </c>
    </row>
    <row r="234" spans="1:2" hidden="1" outlineLevel="1">
      <c r="A234" s="23" t="s">
        <v>9</v>
      </c>
      <c r="B234" s="22" t="s">
        <v>23</v>
      </c>
    </row>
    <row r="235" spans="1:2" hidden="1" outlineLevel="1">
      <c r="A235" s="23" t="s">
        <v>11</v>
      </c>
      <c r="B235" s="22" t="s">
        <v>108</v>
      </c>
    </row>
    <row r="236" spans="1:2" hidden="1" outlineLevel="1">
      <c r="A236" s="23" t="s">
        <v>13</v>
      </c>
      <c r="B236" s="22" t="s">
        <v>43</v>
      </c>
    </row>
    <row r="237" spans="1:2" hidden="1" outlineLevel="1">
      <c r="A237" s="23" t="s">
        <v>15</v>
      </c>
      <c r="B237" s="22" t="s">
        <v>66</v>
      </c>
    </row>
    <row r="238" spans="1:2" hidden="1" outlineLevel="1">
      <c r="A238" s="23" t="s">
        <v>17</v>
      </c>
      <c r="B238" s="22" t="s">
        <v>44</v>
      </c>
    </row>
    <row r="239" spans="1:2" hidden="1" outlineLevel="1">
      <c r="A239" s="23" t="s">
        <v>27</v>
      </c>
      <c r="B239" s="22" t="s">
        <v>44</v>
      </c>
    </row>
    <row r="240" spans="1:2" hidden="1" outlineLevel="1">
      <c r="A240" s="23" t="s">
        <v>19</v>
      </c>
      <c r="B240" s="22" t="s">
        <v>66</v>
      </c>
    </row>
    <row r="241" spans="1:2" collapsed="1">
      <c r="A241" s="26" t="s">
        <v>109</v>
      </c>
      <c r="B241" s="26"/>
    </row>
    <row r="242" spans="1:2" hidden="1" outlineLevel="1">
      <c r="A242" s="23" t="s">
        <v>1</v>
      </c>
      <c r="B242" s="22" t="s">
        <v>2</v>
      </c>
    </row>
    <row r="243" spans="1:2" hidden="1" outlineLevel="1">
      <c r="A243" s="23" t="s">
        <v>4</v>
      </c>
      <c r="B243" s="22">
        <v>100</v>
      </c>
    </row>
    <row r="244" spans="1:2" hidden="1" outlineLevel="1">
      <c r="A244" s="23" t="s">
        <v>5</v>
      </c>
      <c r="B244" s="22" t="s">
        <v>22</v>
      </c>
    </row>
    <row r="245" spans="1:2" hidden="1" outlineLevel="1">
      <c r="A245" s="23" t="s">
        <v>7</v>
      </c>
      <c r="B245" s="22" t="s">
        <v>30</v>
      </c>
    </row>
    <row r="246" spans="1:2" hidden="1" outlineLevel="1">
      <c r="A246" s="23" t="s">
        <v>9</v>
      </c>
      <c r="B246" s="22" t="s">
        <v>23</v>
      </c>
    </row>
    <row r="247" spans="1:2" hidden="1" outlineLevel="1">
      <c r="A247" s="23" t="s">
        <v>11</v>
      </c>
      <c r="B247" s="22" t="s">
        <v>110</v>
      </c>
    </row>
    <row r="248" spans="1:2" hidden="1" outlineLevel="1">
      <c r="A248" s="23" t="s">
        <v>13</v>
      </c>
      <c r="B248" s="22" t="s">
        <v>43</v>
      </c>
    </row>
    <row r="249" spans="1:2" hidden="1" outlineLevel="1">
      <c r="A249" s="23" t="s">
        <v>15</v>
      </c>
      <c r="B249" s="22" t="s">
        <v>66</v>
      </c>
    </row>
    <row r="250" spans="1:2" hidden="1" outlineLevel="1">
      <c r="A250" s="23" t="s">
        <v>17</v>
      </c>
      <c r="B250" s="22" t="s">
        <v>44</v>
      </c>
    </row>
    <row r="251" spans="1:2" hidden="1" outlineLevel="1">
      <c r="A251" s="23" t="s">
        <v>27</v>
      </c>
      <c r="B251" s="22" t="s">
        <v>63</v>
      </c>
    </row>
    <row r="252" spans="1:2" hidden="1" outlineLevel="1">
      <c r="A252" s="23" t="s">
        <v>19</v>
      </c>
      <c r="B252" s="22" t="s">
        <v>66</v>
      </c>
    </row>
    <row r="253" spans="1:2" collapsed="1">
      <c r="A253" s="26" t="s">
        <v>111</v>
      </c>
      <c r="B253" s="26"/>
    </row>
    <row r="254" spans="1:2" hidden="1" outlineLevel="1">
      <c r="A254" s="23" t="s">
        <v>1</v>
      </c>
      <c r="B254" s="22" t="s">
        <v>107</v>
      </c>
    </row>
    <row r="255" spans="1:2" hidden="1" outlineLevel="1">
      <c r="A255" s="23" t="s">
        <v>4</v>
      </c>
      <c r="B255" s="22">
        <v>110</v>
      </c>
    </row>
    <row r="256" spans="1:2" hidden="1" outlineLevel="1">
      <c r="A256" s="23" t="s">
        <v>5</v>
      </c>
      <c r="B256" s="22" t="s">
        <v>37</v>
      </c>
    </row>
    <row r="257" spans="1:2" hidden="1" outlineLevel="1">
      <c r="A257" s="23" t="s">
        <v>7</v>
      </c>
      <c r="B257" s="22" t="s">
        <v>6</v>
      </c>
    </row>
    <row r="258" spans="1:2" hidden="1" outlineLevel="1">
      <c r="A258" s="23" t="s">
        <v>9</v>
      </c>
      <c r="B258" s="22" t="s">
        <v>23</v>
      </c>
    </row>
    <row r="259" spans="1:2" hidden="1" outlineLevel="1">
      <c r="A259" s="23" t="s">
        <v>11</v>
      </c>
      <c r="B259" s="22" t="s">
        <v>112</v>
      </c>
    </row>
    <row r="260" spans="1:2" hidden="1" outlineLevel="1">
      <c r="A260" s="23" t="s">
        <v>13</v>
      </c>
      <c r="B260" s="22" t="s">
        <v>65</v>
      </c>
    </row>
    <row r="261" spans="1:2" hidden="1" outlineLevel="1">
      <c r="A261" s="23" t="s">
        <v>15</v>
      </c>
      <c r="B261" s="22" t="s">
        <v>66</v>
      </c>
    </row>
    <row r="262" spans="1:2" hidden="1" outlineLevel="1">
      <c r="A262" s="23" t="s">
        <v>17</v>
      </c>
      <c r="B262" s="22" t="s">
        <v>63</v>
      </c>
    </row>
    <row r="263" spans="1:2" hidden="1" outlineLevel="1">
      <c r="A263" s="23" t="s">
        <v>27</v>
      </c>
      <c r="B263" s="22" t="s">
        <v>63</v>
      </c>
    </row>
    <row r="264" spans="1:2" hidden="1" outlineLevel="1">
      <c r="A264" s="23" t="s">
        <v>19</v>
      </c>
      <c r="B264" s="22" t="s">
        <v>6</v>
      </c>
    </row>
    <row r="265" spans="1:2" collapsed="1">
      <c r="A265" s="26" t="s">
        <v>113</v>
      </c>
      <c r="B265" s="26"/>
    </row>
    <row r="266" spans="1:2" hidden="1" outlineLevel="1">
      <c r="A266" s="23" t="s">
        <v>1</v>
      </c>
      <c r="B266" s="22" t="s">
        <v>114</v>
      </c>
    </row>
    <row r="267" spans="1:2" hidden="1" outlineLevel="1">
      <c r="A267" s="23" t="s">
        <v>4</v>
      </c>
      <c r="B267" s="22">
        <v>200</v>
      </c>
    </row>
    <row r="268" spans="1:2" hidden="1" outlineLevel="1">
      <c r="A268" s="23" t="s">
        <v>5</v>
      </c>
      <c r="B268" s="22" t="s">
        <v>96</v>
      </c>
    </row>
    <row r="269" spans="1:2" hidden="1" outlineLevel="1">
      <c r="A269" s="23" t="s">
        <v>7</v>
      </c>
      <c r="B269" s="22" t="s">
        <v>6</v>
      </c>
    </row>
    <row r="270" spans="1:2" hidden="1" outlineLevel="1">
      <c r="A270" s="23" t="s">
        <v>9</v>
      </c>
      <c r="B270" s="22" t="s">
        <v>23</v>
      </c>
    </row>
    <row r="271" spans="1:2" hidden="1" outlineLevel="1">
      <c r="A271" s="23" t="s">
        <v>11</v>
      </c>
      <c r="B271" s="22" t="s">
        <v>115</v>
      </c>
    </row>
    <row r="272" spans="1:2" hidden="1" outlineLevel="1">
      <c r="A272" s="23" t="s">
        <v>13</v>
      </c>
      <c r="B272" s="22" t="s">
        <v>105</v>
      </c>
    </row>
    <row r="273" spans="1:2" hidden="1" outlineLevel="1">
      <c r="A273" s="23" t="s">
        <v>15</v>
      </c>
      <c r="B273" s="22" t="s">
        <v>66</v>
      </c>
    </row>
    <row r="274" spans="1:2" hidden="1" outlineLevel="1">
      <c r="A274" s="23" t="s">
        <v>17</v>
      </c>
      <c r="B274" s="22" t="s">
        <v>37</v>
      </c>
    </row>
    <row r="275" spans="1:2" hidden="1" outlineLevel="1">
      <c r="A275" s="23" t="s">
        <v>27</v>
      </c>
      <c r="B275" s="22" t="s">
        <v>37</v>
      </c>
    </row>
    <row r="276" spans="1:2" hidden="1" outlineLevel="1">
      <c r="A276" s="23" t="s">
        <v>19</v>
      </c>
      <c r="B276" s="22" t="s">
        <v>37</v>
      </c>
    </row>
    <row r="277" spans="1:2" collapsed="1">
      <c r="A277" s="26" t="s">
        <v>116</v>
      </c>
      <c r="B277" s="26"/>
    </row>
    <row r="278" spans="1:2" hidden="1" outlineLevel="1">
      <c r="A278" s="23" t="s">
        <v>1</v>
      </c>
      <c r="B278" s="22" t="s">
        <v>114</v>
      </c>
    </row>
    <row r="279" spans="1:2" hidden="1" outlineLevel="1">
      <c r="A279" s="23" t="s">
        <v>4</v>
      </c>
      <c r="B279" s="22">
        <v>200</v>
      </c>
    </row>
    <row r="280" spans="1:2" hidden="1" outlineLevel="1">
      <c r="A280" s="23" t="s">
        <v>5</v>
      </c>
      <c r="B280" s="22" t="s">
        <v>96</v>
      </c>
    </row>
    <row r="281" spans="1:2" hidden="1" outlineLevel="1">
      <c r="A281" s="23" t="s">
        <v>7</v>
      </c>
      <c r="B281" s="22" t="s">
        <v>22</v>
      </c>
    </row>
    <row r="282" spans="1:2" hidden="1" outlineLevel="1">
      <c r="A282" s="23" t="s">
        <v>9</v>
      </c>
      <c r="B282" s="22" t="s">
        <v>90</v>
      </c>
    </row>
    <row r="283" spans="1:2" hidden="1" outlineLevel="1">
      <c r="A283" s="23" t="s">
        <v>11</v>
      </c>
      <c r="B283" s="22" t="s">
        <v>115</v>
      </c>
    </row>
    <row r="284" spans="1:2" hidden="1" outlineLevel="1">
      <c r="A284" s="23" t="s">
        <v>13</v>
      </c>
      <c r="B284" s="22" t="s">
        <v>105</v>
      </c>
    </row>
    <row r="285" spans="1:2" hidden="1" outlineLevel="1">
      <c r="A285" s="23" t="s">
        <v>15</v>
      </c>
      <c r="B285" s="22" t="s">
        <v>66</v>
      </c>
    </row>
    <row r="286" spans="1:2" hidden="1" outlineLevel="1">
      <c r="A286" s="23" t="s">
        <v>17</v>
      </c>
      <c r="B286" s="22" t="s">
        <v>39</v>
      </c>
    </row>
    <row r="287" spans="1:2" hidden="1" outlineLevel="1">
      <c r="A287" s="23" t="s">
        <v>27</v>
      </c>
      <c r="B287" s="22" t="s">
        <v>6</v>
      </c>
    </row>
    <row r="288" spans="1:2" hidden="1" outlineLevel="1">
      <c r="A288" s="23" t="s">
        <v>19</v>
      </c>
      <c r="B288" s="22" t="s">
        <v>6</v>
      </c>
    </row>
    <row r="289" spans="1:2" collapsed="1">
      <c r="A289" s="26" t="s">
        <v>117</v>
      </c>
      <c r="B289" s="26"/>
    </row>
    <row r="290" spans="1:2" hidden="1" outlineLevel="1">
      <c r="A290" s="7" t="s">
        <v>1</v>
      </c>
      <c r="B290" s="6" t="s">
        <v>118</v>
      </c>
    </row>
    <row r="291" spans="1:2" hidden="1" outlineLevel="1">
      <c r="A291" s="7" t="s">
        <v>4</v>
      </c>
      <c r="B291" s="6">
        <v>240</v>
      </c>
    </row>
    <row r="292" spans="1:2" hidden="1" outlineLevel="1">
      <c r="A292" s="7" t="s">
        <v>5</v>
      </c>
      <c r="B292" s="6" t="s">
        <v>79</v>
      </c>
    </row>
    <row r="293" spans="1:2" hidden="1" outlineLevel="1">
      <c r="A293" s="7" t="s">
        <v>7</v>
      </c>
      <c r="B293" s="6" t="s">
        <v>37</v>
      </c>
    </row>
    <row r="294" spans="1:2" hidden="1" outlineLevel="1">
      <c r="A294" s="7" t="s">
        <v>9</v>
      </c>
      <c r="B294" s="6" t="s">
        <v>23</v>
      </c>
    </row>
    <row r="295" spans="1:2" hidden="1" outlineLevel="1">
      <c r="A295" s="7" t="s">
        <v>11</v>
      </c>
      <c r="B295" s="6" t="s">
        <v>95</v>
      </c>
    </row>
    <row r="296" spans="1:2" hidden="1" outlineLevel="1">
      <c r="A296" s="7" t="s">
        <v>13</v>
      </c>
      <c r="B296" s="6" t="s">
        <v>119</v>
      </c>
    </row>
    <row r="297" spans="1:2" hidden="1" outlineLevel="1">
      <c r="A297" s="7" t="s">
        <v>15</v>
      </c>
      <c r="B297" s="6" t="s">
        <v>22</v>
      </c>
    </row>
    <row r="298" spans="1:2" hidden="1" outlineLevel="1">
      <c r="A298" s="7" t="s">
        <v>17</v>
      </c>
      <c r="B298" s="6" t="s">
        <v>43</v>
      </c>
    </row>
    <row r="299" spans="1:2" hidden="1" outlineLevel="1">
      <c r="A299" s="7" t="s">
        <v>27</v>
      </c>
      <c r="B299" s="6" t="s">
        <v>63</v>
      </c>
    </row>
    <row r="300" spans="1:2" hidden="1" outlineLevel="1">
      <c r="A300" s="7" t="s">
        <v>19</v>
      </c>
      <c r="B300" s="6" t="s">
        <v>16</v>
      </c>
    </row>
    <row r="301" spans="1:2" collapsed="1">
      <c r="A301" s="26" t="s">
        <v>120</v>
      </c>
      <c r="B301" s="26"/>
    </row>
    <row r="302" spans="1:2" hidden="1" outlineLevel="1">
      <c r="A302" s="7" t="s">
        <v>1</v>
      </c>
      <c r="B302" s="6" t="s">
        <v>121</v>
      </c>
    </row>
    <row r="303" spans="1:2" hidden="1" outlineLevel="1">
      <c r="A303" s="7" t="s">
        <v>4</v>
      </c>
      <c r="B303" s="2">
        <v>350</v>
      </c>
    </row>
    <row r="304" spans="1:2" hidden="1" outlineLevel="1">
      <c r="A304" s="7" t="s">
        <v>5</v>
      </c>
      <c r="B304" s="6" t="s">
        <v>35</v>
      </c>
    </row>
    <row r="305" spans="1:2" hidden="1" outlineLevel="1">
      <c r="A305" s="7" t="s">
        <v>7</v>
      </c>
      <c r="B305" s="6" t="s">
        <v>122</v>
      </c>
    </row>
    <row r="306" spans="1:2" hidden="1" outlineLevel="1">
      <c r="A306" s="7" t="s">
        <v>9</v>
      </c>
      <c r="B306" s="6" t="s">
        <v>123</v>
      </c>
    </row>
    <row r="307" spans="1:2" hidden="1" outlineLevel="1">
      <c r="A307" s="7" t="s">
        <v>11</v>
      </c>
      <c r="B307" s="6" t="s">
        <v>124</v>
      </c>
    </row>
    <row r="308" spans="1:2" hidden="1" outlineLevel="1">
      <c r="A308" s="7" t="s">
        <v>13</v>
      </c>
      <c r="B308" s="6" t="s">
        <v>125</v>
      </c>
    </row>
    <row r="309" spans="1:2" hidden="1" outlineLevel="1">
      <c r="A309" s="7" t="s">
        <v>15</v>
      </c>
      <c r="B309" s="6" t="s">
        <v>6</v>
      </c>
    </row>
    <row r="310" spans="1:2" hidden="1" outlineLevel="1">
      <c r="A310" s="7" t="s">
        <v>17</v>
      </c>
      <c r="B310" s="6" t="s">
        <v>126</v>
      </c>
    </row>
    <row r="311" spans="1:2" hidden="1" outlineLevel="1">
      <c r="A311" s="7" t="s">
        <v>27</v>
      </c>
      <c r="B311" s="6" t="s">
        <v>127</v>
      </c>
    </row>
    <row r="312" spans="1:2" hidden="1" outlineLevel="1">
      <c r="A312" s="7" t="s">
        <v>19</v>
      </c>
      <c r="B312" s="6" t="s">
        <v>53</v>
      </c>
    </row>
    <row r="313" spans="1:2" collapsed="1">
      <c r="A313" s="26" t="s">
        <v>128</v>
      </c>
      <c r="B313" s="26"/>
    </row>
    <row r="314" spans="1:2" hidden="1" outlineLevel="1">
      <c r="A314" s="2" t="s">
        <v>1</v>
      </c>
      <c r="B314" s="2" t="s">
        <v>129</v>
      </c>
    </row>
    <row r="315" spans="1:2" hidden="1" outlineLevel="1">
      <c r="A315" s="2" t="s">
        <v>130</v>
      </c>
      <c r="B315" s="2">
        <v>5</v>
      </c>
    </row>
    <row r="316" spans="1:2" hidden="1" outlineLevel="1">
      <c r="A316" s="2" t="s">
        <v>5</v>
      </c>
      <c r="B316" s="6" t="s">
        <v>66</v>
      </c>
    </row>
    <row r="317" spans="1:2" hidden="1" outlineLevel="1">
      <c r="A317" s="2" t="s">
        <v>7</v>
      </c>
      <c r="B317" s="6" t="s">
        <v>66</v>
      </c>
    </row>
    <row r="318" spans="1:2" hidden="1" outlineLevel="1">
      <c r="A318" s="2" t="s">
        <v>9</v>
      </c>
      <c r="B318" s="6" t="s">
        <v>23</v>
      </c>
    </row>
    <row r="319" spans="1:2" hidden="1" outlineLevel="1">
      <c r="A319" s="2" t="s">
        <v>11</v>
      </c>
      <c r="B319" s="6" t="s">
        <v>131</v>
      </c>
    </row>
    <row r="320" spans="1:2" hidden="1" outlineLevel="1">
      <c r="A320" s="2" t="s">
        <v>13</v>
      </c>
      <c r="B320" s="6" t="s">
        <v>14</v>
      </c>
    </row>
    <row r="321" spans="1:2" hidden="1" outlineLevel="1">
      <c r="A321" s="2" t="s">
        <v>15</v>
      </c>
      <c r="B321" s="6" t="s">
        <v>14</v>
      </c>
    </row>
    <row r="322" spans="1:2" hidden="1" outlineLevel="1">
      <c r="A322" s="2" t="s">
        <v>17</v>
      </c>
      <c r="B322" s="6" t="s">
        <v>14</v>
      </c>
    </row>
    <row r="323" spans="1:2" hidden="1" outlineLevel="1">
      <c r="A323" s="2" t="s">
        <v>27</v>
      </c>
      <c r="B323" s="6" t="s">
        <v>66</v>
      </c>
    </row>
    <row r="324" spans="1:2" hidden="1" outlineLevel="1">
      <c r="A324" s="2" t="s">
        <v>19</v>
      </c>
      <c r="B324" s="6" t="s">
        <v>66</v>
      </c>
    </row>
    <row r="325" spans="1:2" collapsed="1">
      <c r="B325" s="6"/>
    </row>
  </sheetData>
  <mergeCells count="27">
    <mergeCell ref="A133:B133"/>
    <mergeCell ref="A145:B145"/>
    <mergeCell ref="A157:B157"/>
    <mergeCell ref="A121:B121"/>
    <mergeCell ref="A1:B1"/>
    <mergeCell ref="A49:B49"/>
    <mergeCell ref="A109:B109"/>
    <mergeCell ref="A97:B97"/>
    <mergeCell ref="A61:B61"/>
    <mergeCell ref="A85:B85"/>
    <mergeCell ref="A73:B73"/>
    <mergeCell ref="A25:B25"/>
    <mergeCell ref="A13:B13"/>
    <mergeCell ref="A37:B37"/>
    <mergeCell ref="A313:B313"/>
    <mergeCell ref="A301:B301"/>
    <mergeCell ref="A169:B169"/>
    <mergeCell ref="A229:B229"/>
    <mergeCell ref="A241:B241"/>
    <mergeCell ref="A253:B253"/>
    <mergeCell ref="A265:B265"/>
    <mergeCell ref="A181:B181"/>
    <mergeCell ref="A217:B217"/>
    <mergeCell ref="A205:B205"/>
    <mergeCell ref="A289:B289"/>
    <mergeCell ref="A193:B193"/>
    <mergeCell ref="A277:B277"/>
  </mergeCells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06753-6696-4F31-8182-41B98B62F746}">
  <sheetPr codeName="Sheet2"/>
  <dimension ref="A1:F61"/>
  <sheetViews>
    <sheetView topLeftCell="B1" zoomScale="130" zoomScaleNormal="130" workbookViewId="0">
      <selection activeCell="D11" sqref="D11"/>
    </sheetView>
  </sheetViews>
  <sheetFormatPr defaultColWidth="9.140625" defaultRowHeight="15" outlineLevelRow="1"/>
  <cols>
    <col min="1" max="1" width="22.5703125" style="2" customWidth="1"/>
    <col min="2" max="2" width="26" style="2" customWidth="1"/>
    <col min="3" max="3" width="16" style="2" customWidth="1"/>
    <col min="4" max="16384" width="9.140625" style="2"/>
  </cols>
  <sheetData>
    <row r="1" spans="1:6">
      <c r="A1" s="26" t="s">
        <v>132</v>
      </c>
      <c r="B1" s="26"/>
      <c r="C1" s="6"/>
    </row>
    <row r="2" spans="1:6" outlineLevel="1">
      <c r="A2" s="7" t="s">
        <v>133</v>
      </c>
      <c r="B2" s="9" t="s">
        <v>134</v>
      </c>
      <c r="C2" s="9" t="s">
        <v>135</v>
      </c>
      <c r="D2" s="9" t="s">
        <v>136</v>
      </c>
    </row>
    <row r="3" spans="1:6" outlineLevel="1">
      <c r="A3" s="7" t="s">
        <v>4</v>
      </c>
      <c r="B3" s="6">
        <v>95</v>
      </c>
      <c r="C3" s="3">
        <f>(B3*2)</f>
        <v>190</v>
      </c>
      <c r="D3" s="6">
        <f>(B3*3)</f>
        <v>285</v>
      </c>
    </row>
    <row r="4" spans="1:6" outlineLevel="1">
      <c r="A4" s="7" t="s">
        <v>5</v>
      </c>
      <c r="B4" s="6" t="s">
        <v>63</v>
      </c>
      <c r="C4" s="3" t="str">
        <f t="shared" ref="C4:C5" si="0">SUM(IF(ISNUMBER( SEARCH("g",B4)), LEFT(B4, LEN(B4)-1)*1, "")*2)&amp;"g"</f>
        <v>16g</v>
      </c>
      <c r="D4" s="6" t="str">
        <f>SUM(IF(ISNUMBER( SEARCH("g",B4)), LEFT(B4, LEN(B4)-1)*1, "")*3)&amp;"g"</f>
        <v>24g</v>
      </c>
    </row>
    <row r="5" spans="1:6" outlineLevel="1">
      <c r="A5" s="7" t="s">
        <v>7</v>
      </c>
      <c r="B5" s="6" t="s">
        <v>6</v>
      </c>
      <c r="C5" s="3" t="str">
        <f t="shared" si="0"/>
        <v>4g</v>
      </c>
      <c r="D5" s="6" t="str">
        <f>SUM(IF(ISNUMBER( SEARCH("g",B5)), LEFT(B5, LEN(B5)-1)*1, "")*3)&amp;"g"</f>
        <v>6g</v>
      </c>
    </row>
    <row r="6" spans="1:6" outlineLevel="1">
      <c r="A6" s="7" t="s">
        <v>9</v>
      </c>
      <c r="B6" s="6" t="s">
        <v>23</v>
      </c>
      <c r="C6" s="3" t="str">
        <f t="shared" ref="C6:D7" si="1">SUM(IF(ISNUMBER( SEARCH("mg",B6)), LEFT(B6, LEN(B6)-2)*1, "")*2)&amp;"mg"</f>
        <v>0mg</v>
      </c>
      <c r="D6" s="6" t="str">
        <f>SUM(IF(ISNUMBER( SEARCH("mg",B6)), LEFT(B6, LEN(B6)-2)*1, "")*3)&amp;"mg"</f>
        <v>0mg</v>
      </c>
    </row>
    <row r="7" spans="1:6" outlineLevel="1">
      <c r="A7" s="7" t="s">
        <v>11</v>
      </c>
      <c r="B7" s="6" t="s">
        <v>31</v>
      </c>
      <c r="C7" s="3" t="str">
        <f t="shared" si="1"/>
        <v>140mg</v>
      </c>
      <c r="D7" s="3" t="str">
        <f>SUM(IF(ISNUMBER( SEARCH("mg",B7)), LEFT(B7, LEN(B7)-2)*1, "")*3)&amp;"mg"</f>
        <v>210mg</v>
      </c>
    </row>
    <row r="8" spans="1:6" outlineLevel="1">
      <c r="A8" s="7" t="s">
        <v>13</v>
      </c>
      <c r="B8" s="6" t="s">
        <v>37</v>
      </c>
      <c r="C8" s="3" t="str">
        <f t="shared" ref="C8:C12" si="2">SUM(IF(ISNUMBER( SEARCH("g",B8)), LEFT(B8, LEN(B8)-1)*1, "")*2)&amp;"g"</f>
        <v>8g</v>
      </c>
      <c r="D8" s="6" t="str">
        <f t="shared" ref="D8:D12" si="3">SUM(IF(ISNUMBER( SEARCH("g",B8)), LEFT(B8, LEN(B8)-1)*1, "")*3)&amp;"g"</f>
        <v>12g</v>
      </c>
    </row>
    <row r="9" spans="1:6" outlineLevel="1">
      <c r="A9" s="7" t="s">
        <v>15</v>
      </c>
      <c r="B9" s="6" t="s">
        <v>14</v>
      </c>
      <c r="C9" s="3" t="str">
        <f t="shared" si="2"/>
        <v>2g</v>
      </c>
      <c r="D9" s="6" t="str">
        <f t="shared" si="3"/>
        <v>3g</v>
      </c>
    </row>
    <row r="10" spans="1:6" outlineLevel="1">
      <c r="A10" s="7" t="s">
        <v>17</v>
      </c>
      <c r="B10" s="6" t="s">
        <v>6</v>
      </c>
      <c r="C10" s="3" t="str">
        <f t="shared" si="2"/>
        <v>4g</v>
      </c>
      <c r="D10" s="6" t="str">
        <f t="shared" si="3"/>
        <v>6g</v>
      </c>
    </row>
    <row r="11" spans="1:6" outlineLevel="1">
      <c r="A11" s="7" t="s">
        <v>27</v>
      </c>
      <c r="B11" s="6" t="s">
        <v>14</v>
      </c>
      <c r="C11" s="3" t="str">
        <f t="shared" si="2"/>
        <v>2g</v>
      </c>
      <c r="D11" s="6" t="str">
        <f t="shared" si="3"/>
        <v>3g</v>
      </c>
    </row>
    <row r="12" spans="1:6" outlineLevel="1">
      <c r="A12" s="7" t="s">
        <v>19</v>
      </c>
      <c r="B12" s="6" t="s">
        <v>29</v>
      </c>
      <c r="C12" s="3" t="str">
        <f t="shared" si="2"/>
        <v>7g</v>
      </c>
      <c r="D12" s="6" t="str">
        <f t="shared" si="3"/>
        <v>10.5g</v>
      </c>
    </row>
    <row r="13" spans="1:6">
      <c r="A13" s="26" t="s">
        <v>137</v>
      </c>
      <c r="B13" s="26"/>
      <c r="C13" s="6"/>
    </row>
    <row r="14" spans="1:6" hidden="1" outlineLevel="1">
      <c r="A14" s="7" t="s">
        <v>1</v>
      </c>
      <c r="B14" s="9" t="s">
        <v>134</v>
      </c>
      <c r="C14" s="9" t="s">
        <v>135</v>
      </c>
    </row>
    <row r="15" spans="1:6" hidden="1" outlineLevel="1">
      <c r="A15" s="7" t="s">
        <v>4</v>
      </c>
      <c r="B15" s="6">
        <v>110</v>
      </c>
      <c r="C15" s="6">
        <f>(B15*2)</f>
        <v>220</v>
      </c>
    </row>
    <row r="16" spans="1:6" hidden="1" outlineLevel="1">
      <c r="A16" s="7" t="s">
        <v>5</v>
      </c>
      <c r="B16" s="6" t="s">
        <v>66</v>
      </c>
      <c r="C16" s="6" t="str">
        <f t="shared" ref="C16:C17" si="4">SUM(IF(ISNUMBER( SEARCH("g",B16)), LEFT(B16, LEN(B16)-1)*1, "")*2)&amp;"g"</f>
        <v>0g</v>
      </c>
      <c r="F16"/>
    </row>
    <row r="17" spans="1:6" hidden="1" outlineLevel="1">
      <c r="A17" s="7" t="s">
        <v>7</v>
      </c>
      <c r="B17" s="6" t="s">
        <v>66</v>
      </c>
      <c r="C17" s="6" t="str">
        <f>SUM(IF(ISNUMBER( SEARCH("g",B17)), LEFT(B17, LEN(B17)-1)*1, "")*2)&amp;"g"</f>
        <v>0g</v>
      </c>
    </row>
    <row r="18" spans="1:6" hidden="1" outlineLevel="1">
      <c r="A18" s="7" t="s">
        <v>9</v>
      </c>
      <c r="B18" s="6" t="s">
        <v>23</v>
      </c>
      <c r="C18" s="6" t="str">
        <f t="shared" ref="C18:C19" si="5">SUM(IF(ISNUMBER( SEARCH("mg",B18)), LEFT(B18, LEN(B18)-2)*1, "")*2)&amp;"mg"</f>
        <v>0mg</v>
      </c>
    </row>
    <row r="19" spans="1:6" hidden="1" outlineLevel="1">
      <c r="A19" s="7" t="s">
        <v>11</v>
      </c>
      <c r="B19" s="6" t="s">
        <v>123</v>
      </c>
      <c r="C19" s="6" t="str">
        <f t="shared" si="5"/>
        <v>60mg</v>
      </c>
      <c r="F19"/>
    </row>
    <row r="20" spans="1:6" hidden="1" outlineLevel="1">
      <c r="A20" s="7" t="s">
        <v>13</v>
      </c>
      <c r="B20" s="6" t="s">
        <v>126</v>
      </c>
      <c r="C20" s="6" t="str">
        <f t="shared" ref="C20:C24" si="6">SUM(IF(ISNUMBER( SEARCH("g",B20)), LEFT(B20, LEN(B20)-1)*1, "")*2)&amp;"g"</f>
        <v>58g</v>
      </c>
    </row>
    <row r="21" spans="1:6" hidden="1" outlineLevel="1">
      <c r="A21" s="7" t="s">
        <v>15</v>
      </c>
      <c r="B21" s="6" t="s">
        <v>66</v>
      </c>
      <c r="C21" s="6" t="str">
        <f t="shared" si="6"/>
        <v>0g</v>
      </c>
    </row>
    <row r="22" spans="1:6" hidden="1" outlineLevel="1">
      <c r="A22" s="7" t="s">
        <v>17</v>
      </c>
      <c r="B22" s="6" t="s">
        <v>76</v>
      </c>
      <c r="C22" s="6" t="str">
        <f t="shared" si="6"/>
        <v>52g</v>
      </c>
    </row>
    <row r="23" spans="1:6" hidden="1" outlineLevel="1">
      <c r="A23" s="7" t="s">
        <v>27</v>
      </c>
      <c r="B23" s="6" t="s">
        <v>66</v>
      </c>
      <c r="C23" s="6" t="str">
        <f t="shared" si="6"/>
        <v>0g</v>
      </c>
    </row>
    <row r="24" spans="1:6" hidden="1" outlineLevel="1">
      <c r="A24" s="7" t="s">
        <v>19</v>
      </c>
      <c r="B24" s="6" t="s">
        <v>66</v>
      </c>
      <c r="C24" s="6" t="str">
        <f t="shared" si="6"/>
        <v>0g</v>
      </c>
    </row>
    <row r="25" spans="1:6" collapsed="1">
      <c r="A25" s="26" t="s">
        <v>138</v>
      </c>
      <c r="B25" s="26"/>
      <c r="C25" s="6"/>
    </row>
    <row r="26" spans="1:6" hidden="1" outlineLevel="1">
      <c r="A26" s="7" t="s">
        <v>1</v>
      </c>
      <c r="B26" s="9" t="s">
        <v>134</v>
      </c>
      <c r="C26" s="9" t="s">
        <v>135</v>
      </c>
    </row>
    <row r="27" spans="1:6" hidden="1" outlineLevel="1">
      <c r="A27" s="7" t="s">
        <v>4</v>
      </c>
      <c r="B27" s="6">
        <v>35</v>
      </c>
      <c r="C27" s="3">
        <f>(B27*2)</f>
        <v>70</v>
      </c>
    </row>
    <row r="28" spans="1:6" hidden="1" outlineLevel="1">
      <c r="A28" s="7" t="s">
        <v>5</v>
      </c>
      <c r="B28" s="6" t="s">
        <v>66</v>
      </c>
      <c r="C28" s="3" t="str">
        <f t="shared" ref="C28:C29" si="7">SUM(IF(ISNUMBER( SEARCH("g",B28)), LEFT(B28, LEN(B28)-1)*1, "")*2)&amp;"g"</f>
        <v>0g</v>
      </c>
    </row>
    <row r="29" spans="1:6" hidden="1" outlineLevel="1">
      <c r="A29" s="7" t="s">
        <v>7</v>
      </c>
      <c r="B29" s="6" t="s">
        <v>66</v>
      </c>
      <c r="C29" s="3" t="str">
        <f t="shared" si="7"/>
        <v>0g</v>
      </c>
    </row>
    <row r="30" spans="1:6" hidden="1" outlineLevel="1">
      <c r="A30" s="7" t="s">
        <v>9</v>
      </c>
      <c r="B30" s="6" t="s">
        <v>23</v>
      </c>
      <c r="C30" s="3" t="str">
        <f t="shared" ref="C30:C31" si="8">SUM(IF(ISNUMBER( SEARCH("mg",B30)), LEFT(B30, LEN(B30)-2)*1, "")*2)&amp;"mg"</f>
        <v>0mg</v>
      </c>
    </row>
    <row r="31" spans="1:6" hidden="1" outlineLevel="1">
      <c r="A31" s="7" t="s">
        <v>11</v>
      </c>
      <c r="B31" s="6" t="s">
        <v>23</v>
      </c>
      <c r="C31" s="3" t="str">
        <f t="shared" si="8"/>
        <v>0mg</v>
      </c>
    </row>
    <row r="32" spans="1:6" hidden="1" outlineLevel="1">
      <c r="A32" s="7" t="s">
        <v>13</v>
      </c>
      <c r="B32" s="6" t="s">
        <v>44</v>
      </c>
      <c r="C32" s="3" t="str">
        <f t="shared" ref="C32:C36" si="9">SUM(IF(ISNUMBER( SEARCH("g",B32)), LEFT(B32, LEN(B32)-1)*1, "")*2)&amp;"g"</f>
        <v>18g</v>
      </c>
    </row>
    <row r="33" spans="1:3" hidden="1" outlineLevel="1">
      <c r="A33" s="7" t="s">
        <v>15</v>
      </c>
      <c r="B33" s="6" t="s">
        <v>66</v>
      </c>
      <c r="C33" s="3" t="str">
        <f t="shared" si="9"/>
        <v>0g</v>
      </c>
    </row>
    <row r="34" spans="1:3" hidden="1" outlineLevel="1">
      <c r="A34" s="7" t="s">
        <v>17</v>
      </c>
      <c r="B34" s="6" t="s">
        <v>44</v>
      </c>
      <c r="C34" s="3" t="str">
        <f t="shared" si="9"/>
        <v>18g</v>
      </c>
    </row>
    <row r="35" spans="1:3" hidden="1" outlineLevel="1">
      <c r="A35" s="7" t="s">
        <v>27</v>
      </c>
      <c r="B35" s="6" t="s">
        <v>63</v>
      </c>
      <c r="C35" s="3" t="str">
        <f t="shared" si="9"/>
        <v>16g</v>
      </c>
    </row>
    <row r="36" spans="1:3" hidden="1" outlineLevel="1">
      <c r="A36" s="7" t="s">
        <v>19</v>
      </c>
      <c r="B36" s="6" t="s">
        <v>66</v>
      </c>
      <c r="C36" s="3" t="str">
        <f t="shared" si="9"/>
        <v>0g</v>
      </c>
    </row>
    <row r="37" spans="1:3" collapsed="1">
      <c r="A37" s="26" t="s">
        <v>139</v>
      </c>
      <c r="B37" s="26"/>
      <c r="C37" s="6"/>
    </row>
    <row r="38" spans="1:3" hidden="1" outlineLevel="1">
      <c r="A38" s="7" t="s">
        <v>1</v>
      </c>
      <c r="B38" s="9" t="s">
        <v>134</v>
      </c>
      <c r="C38" s="9" t="s">
        <v>135</v>
      </c>
    </row>
    <row r="39" spans="1:3" hidden="1" outlineLevel="1">
      <c r="A39" s="7" t="s">
        <v>4</v>
      </c>
      <c r="B39" s="6">
        <v>40</v>
      </c>
      <c r="C39" s="3">
        <f>(B39*2)</f>
        <v>80</v>
      </c>
    </row>
    <row r="40" spans="1:3" hidden="1" outlineLevel="1">
      <c r="A40" s="7" t="s">
        <v>5</v>
      </c>
      <c r="B40" s="6" t="s">
        <v>66</v>
      </c>
      <c r="C40" s="3" t="str">
        <f t="shared" ref="C40:C41" si="10">SUM(IF(ISNUMBER( SEARCH("g",B40)), LEFT(B40, LEN(B40)-1)*1, "")*2)&amp;"g"</f>
        <v>0g</v>
      </c>
    </row>
    <row r="41" spans="1:3" hidden="1" outlineLevel="1">
      <c r="A41" s="7" t="s">
        <v>7</v>
      </c>
      <c r="B41" s="6" t="s">
        <v>66</v>
      </c>
      <c r="C41" s="3" t="str">
        <f t="shared" si="10"/>
        <v>0g</v>
      </c>
    </row>
    <row r="42" spans="1:3" hidden="1" outlineLevel="1">
      <c r="A42" s="7" t="s">
        <v>9</v>
      </c>
      <c r="B42" s="6" t="s">
        <v>23</v>
      </c>
      <c r="C42" s="3" t="str">
        <f t="shared" ref="C42:C43" si="11">SUM(IF(ISNUMBER( SEARCH("mg",B42)), LEFT(B42, LEN(B42)-2)*1, "")*2)&amp;"mg"</f>
        <v>0mg</v>
      </c>
    </row>
    <row r="43" spans="1:3" hidden="1" outlineLevel="1">
      <c r="A43" s="7" t="s">
        <v>11</v>
      </c>
      <c r="B43" s="6" t="s">
        <v>72</v>
      </c>
      <c r="C43" s="3" t="str">
        <f t="shared" si="11"/>
        <v>20mg</v>
      </c>
    </row>
    <row r="44" spans="1:3" hidden="1" outlineLevel="1">
      <c r="A44" s="7" t="s">
        <v>13</v>
      </c>
      <c r="B44" s="6" t="s">
        <v>44</v>
      </c>
      <c r="C44" s="3" t="str">
        <f t="shared" ref="C44:C48" si="12">SUM(IF(ISNUMBER( SEARCH("g",B44)), LEFT(B44, LEN(B44)-1)*1, "")*2)&amp;"g"</f>
        <v>18g</v>
      </c>
    </row>
    <row r="45" spans="1:3" hidden="1" outlineLevel="1">
      <c r="A45" s="7" t="s">
        <v>15</v>
      </c>
      <c r="B45" s="6" t="s">
        <v>66</v>
      </c>
      <c r="C45" s="3" t="str">
        <f t="shared" si="12"/>
        <v>0g</v>
      </c>
    </row>
    <row r="46" spans="1:3" hidden="1" outlineLevel="1">
      <c r="A46" s="7" t="s">
        <v>17</v>
      </c>
      <c r="B46" s="6" t="s">
        <v>63</v>
      </c>
      <c r="C46" s="3" t="str">
        <f t="shared" si="12"/>
        <v>16g</v>
      </c>
    </row>
    <row r="47" spans="1:3" hidden="1" outlineLevel="1">
      <c r="A47" s="7" t="s">
        <v>27</v>
      </c>
      <c r="B47" s="6" t="s">
        <v>66</v>
      </c>
      <c r="C47" s="3" t="str">
        <f t="shared" si="12"/>
        <v>0g</v>
      </c>
    </row>
    <row r="48" spans="1:3" hidden="1" outlineLevel="1">
      <c r="A48" s="7" t="s">
        <v>19</v>
      </c>
      <c r="B48" s="6" t="s">
        <v>66</v>
      </c>
      <c r="C48" s="3" t="str">
        <f t="shared" si="12"/>
        <v>0g</v>
      </c>
    </row>
    <row r="49" spans="1:3" collapsed="1">
      <c r="A49" s="26" t="s">
        <v>140</v>
      </c>
      <c r="B49" s="26"/>
      <c r="C49" s="3"/>
    </row>
    <row r="50" spans="1:3" hidden="1" outlineLevel="1">
      <c r="A50" s="7" t="s">
        <v>1</v>
      </c>
      <c r="B50" s="9" t="s">
        <v>134</v>
      </c>
      <c r="C50" s="9" t="s">
        <v>135</v>
      </c>
    </row>
    <row r="51" spans="1:3" hidden="1" outlineLevel="1">
      <c r="A51" s="7" t="s">
        <v>4</v>
      </c>
      <c r="B51" s="6">
        <v>50</v>
      </c>
      <c r="C51" s="6">
        <f>(B51*2)</f>
        <v>100</v>
      </c>
    </row>
    <row r="52" spans="1:3" hidden="1" outlineLevel="1">
      <c r="A52" s="7" t="s">
        <v>5</v>
      </c>
      <c r="B52" s="6" t="s">
        <v>66</v>
      </c>
      <c r="C52" s="6" t="str">
        <f t="shared" ref="C52:C53" si="13">SUM(IF(ISNUMBER( SEARCH("g",B52)), LEFT(B52, LEN(B52)-1)*1, "")*2)&amp;"g"</f>
        <v>0g</v>
      </c>
    </row>
    <row r="53" spans="1:3" hidden="1" outlineLevel="1">
      <c r="A53" s="7" t="s">
        <v>7</v>
      </c>
      <c r="B53" s="6" t="s">
        <v>66</v>
      </c>
      <c r="C53" s="6" t="str">
        <f t="shared" si="13"/>
        <v>0g</v>
      </c>
    </row>
    <row r="54" spans="1:3" hidden="1" outlineLevel="1">
      <c r="A54" s="7" t="s">
        <v>9</v>
      </c>
      <c r="B54" s="6" t="s">
        <v>23</v>
      </c>
      <c r="C54" s="6" t="str">
        <f t="shared" ref="C54:C55" si="14">SUM(IF(ISNUMBER( SEARCH("mg",B54)), LEFT(B54, LEN(B54)-2)*1, "")*2)&amp;"mg"</f>
        <v>0mg</v>
      </c>
    </row>
    <row r="55" spans="1:3" hidden="1" outlineLevel="1">
      <c r="A55" s="7" t="s">
        <v>11</v>
      </c>
      <c r="B55" s="6" t="s">
        <v>23</v>
      </c>
      <c r="C55" s="6" t="str">
        <f t="shared" si="14"/>
        <v>0mg</v>
      </c>
    </row>
    <row r="56" spans="1:3" hidden="1" outlineLevel="1">
      <c r="A56" s="7" t="s">
        <v>13</v>
      </c>
      <c r="B56" s="6" t="s">
        <v>66</v>
      </c>
      <c r="C56" s="6" t="str">
        <f t="shared" ref="C56:C60" si="15">SUM(IF(ISNUMBER( SEARCH("g",B56)), LEFT(B56, LEN(B56)-1)*1, "")*2)&amp;"g"</f>
        <v>0g</v>
      </c>
    </row>
    <row r="57" spans="1:3" hidden="1" outlineLevel="1">
      <c r="A57" s="7" t="s">
        <v>15</v>
      </c>
      <c r="B57" s="6" t="s">
        <v>35</v>
      </c>
      <c r="C57" s="6" t="str">
        <f t="shared" si="15"/>
        <v>26g</v>
      </c>
    </row>
    <row r="58" spans="1:3" hidden="1" outlineLevel="1">
      <c r="A58" s="7" t="s">
        <v>17</v>
      </c>
      <c r="B58" s="6" t="s">
        <v>87</v>
      </c>
      <c r="C58" s="6" t="str">
        <f t="shared" si="15"/>
        <v>24g</v>
      </c>
    </row>
    <row r="59" spans="1:3" hidden="1" outlineLevel="1">
      <c r="A59" s="7" t="s">
        <v>27</v>
      </c>
      <c r="B59" s="6" t="s">
        <v>44</v>
      </c>
      <c r="C59" s="6" t="str">
        <f t="shared" si="15"/>
        <v>18g</v>
      </c>
    </row>
    <row r="60" spans="1:3" hidden="1" outlineLevel="1">
      <c r="A60" s="7" t="s">
        <v>19</v>
      </c>
      <c r="B60" s="6" t="s">
        <v>66</v>
      </c>
      <c r="C60" s="6" t="str">
        <f t="shared" si="15"/>
        <v>0g</v>
      </c>
    </row>
    <row r="61" spans="1:3" collapsed="1"/>
  </sheetData>
  <mergeCells count="5">
    <mergeCell ref="A1:B1"/>
    <mergeCell ref="A13:B13"/>
    <mergeCell ref="A25:B25"/>
    <mergeCell ref="A37:B37"/>
    <mergeCell ref="A49:B49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341EB-4589-4C87-9753-3A440C89AE3B}">
  <sheetPr codeName="Sheet4"/>
  <dimension ref="A1:E37"/>
  <sheetViews>
    <sheetView zoomScale="115" zoomScaleNormal="115" workbookViewId="0">
      <selection activeCell="D28" sqref="D28"/>
    </sheetView>
  </sheetViews>
  <sheetFormatPr defaultColWidth="9.140625" defaultRowHeight="15" outlineLevelRow="1"/>
  <cols>
    <col min="1" max="1" width="20.7109375" style="2" customWidth="1"/>
    <col min="2" max="2" width="24" style="2" customWidth="1"/>
    <col min="3" max="3" width="13.140625" style="2" customWidth="1"/>
    <col min="4" max="4" width="13.5703125" style="2" customWidth="1"/>
    <col min="5" max="17" width="9.140625" style="2"/>
    <col min="18" max="18" width="14.42578125" style="2" customWidth="1"/>
    <col min="19" max="16384" width="9.140625" style="2"/>
  </cols>
  <sheetData>
    <row r="1" spans="1:5">
      <c r="A1" s="26" t="s">
        <v>141</v>
      </c>
      <c r="B1" s="26"/>
    </row>
    <row r="2" spans="1:5" hidden="1" outlineLevel="1">
      <c r="A2" s="7" t="s">
        <v>1</v>
      </c>
      <c r="B2" s="8" t="s">
        <v>142</v>
      </c>
      <c r="C2" s="8" t="s">
        <v>143</v>
      </c>
      <c r="D2" s="8" t="s">
        <v>144</v>
      </c>
      <c r="E2" s="8" t="s">
        <v>145</v>
      </c>
    </row>
    <row r="3" spans="1:5" hidden="1" outlineLevel="1">
      <c r="A3" s="7" t="s">
        <v>4</v>
      </c>
      <c r="B3" s="6">
        <v>350</v>
      </c>
      <c r="C3" s="3">
        <f>(B3*2)</f>
        <v>700</v>
      </c>
      <c r="D3" s="6">
        <f>C3*1.5</f>
        <v>1050</v>
      </c>
      <c r="E3" s="6">
        <f>(B3*4)</f>
        <v>1400</v>
      </c>
    </row>
    <row r="4" spans="1:5" hidden="1" outlineLevel="1">
      <c r="A4" s="7" t="s">
        <v>5</v>
      </c>
      <c r="B4" s="6" t="s">
        <v>146</v>
      </c>
      <c r="C4" s="3" t="str">
        <f t="shared" ref="C4:C5" si="0">SUM(IF(ISNUMBER( SEARCH("g",B4)), LEFT(B4, LEN(B4)-1)*1, "")*2)&amp;"g"</f>
        <v>62g</v>
      </c>
      <c r="D4" s="6" t="str">
        <f>SUM(IF(ISNUMBER( SEARCH("g",B4)), LEFT(B4, LEN(B4)-1)*1, "")*3)&amp;"g"</f>
        <v>93g</v>
      </c>
      <c r="E4" s="3" t="str">
        <f>SUM(IF(ISNUMBER( SEARCH("g",B4)), LEFT(B4, LEN(B4)-1)*1, "")*4)&amp;"g"</f>
        <v>124g</v>
      </c>
    </row>
    <row r="5" spans="1:5" hidden="1" outlineLevel="1">
      <c r="A5" s="7" t="s">
        <v>147</v>
      </c>
      <c r="B5" s="6" t="s">
        <v>87</v>
      </c>
      <c r="C5" s="3" t="str">
        <f t="shared" si="0"/>
        <v>24g</v>
      </c>
      <c r="D5" s="6" t="str">
        <f>SUM(IF(ISNUMBER( SEARCH("g",B5)), LEFT(B5, LEN(B5)-1)*1, "")*3)&amp;"g"</f>
        <v>36g</v>
      </c>
      <c r="E5" s="3" t="str">
        <f>SUM(IF(ISNUMBER( SEARCH("g",B5)), LEFT(B5, LEN(B5)-1)*1, "")*4)&amp;"g"</f>
        <v>48g</v>
      </c>
    </row>
    <row r="6" spans="1:5" hidden="1" outlineLevel="1">
      <c r="A6" s="7" t="s">
        <v>9</v>
      </c>
      <c r="B6" s="6" t="s">
        <v>10</v>
      </c>
      <c r="C6" s="3" t="str">
        <f t="shared" ref="C6:C7" si="1">SUM(IF(ISNUMBER( SEARCH("mg",B6)), LEFT(B6, LEN(B6)-2)*1, "")*2)&amp;"mg"</f>
        <v>160mg</v>
      </c>
      <c r="D6" s="6" t="str">
        <f>SUM(IF(ISNUMBER( SEARCH("mg",B6)), LEFT(B6, LEN(B6)-2)*1, "")*3)&amp;"mg"</f>
        <v>240mg</v>
      </c>
      <c r="E6" s="3" t="str">
        <f>SUM(IF(ISNUMBER( SEARCH("mg",B6)), LEFT(B6, LEN(B6)-2)*1, "")*4)&amp;"mg"</f>
        <v>320mg</v>
      </c>
    </row>
    <row r="7" spans="1:5" hidden="1" outlineLevel="1">
      <c r="A7" s="7" t="s">
        <v>49</v>
      </c>
      <c r="B7" s="6" t="s">
        <v>23</v>
      </c>
      <c r="C7" s="3" t="str">
        <f t="shared" si="1"/>
        <v>0mg</v>
      </c>
      <c r="D7" s="6" t="str">
        <f>SUM(IF(ISNUMBER( SEARCH("mg",B7)), LEFT(B7, LEN(B7)-2)*1, "")*3)&amp;"mg"</f>
        <v>0mg</v>
      </c>
      <c r="E7" s="3" t="str">
        <f>SUM(IF(ISNUMBER( SEARCH("mg",B7)), LEFT(B7, LEN(B7)-2)*1, "")*4)&amp;"mg"</f>
        <v>0mg</v>
      </c>
    </row>
    <row r="8" spans="1:5" hidden="1" outlineLevel="1">
      <c r="A8" s="7" t="s">
        <v>25</v>
      </c>
      <c r="B8" s="6" t="s">
        <v>66</v>
      </c>
      <c r="C8" s="3" t="str">
        <f t="shared" ref="C8:C12" si="2">SUM(IF(ISNUMBER( SEARCH("g",B8)), LEFT(B8, LEN(B8)-1)*1, "")*2)&amp;"g"</f>
        <v>0g</v>
      </c>
      <c r="D8" s="6" t="str">
        <f>SUM(IF(ISNUMBER( SEARCH("g",B8)), LEFT(B8, LEN(B8)-1)*1, "")*3)&amp;"g"</f>
        <v>0g</v>
      </c>
      <c r="E8" s="3" t="str">
        <f>SUM(IF(ISNUMBER( SEARCH("g",B8)), LEFT(B8, LEN(B8)-1)*1, "")*4)&amp;"g"</f>
        <v>0g</v>
      </c>
    </row>
    <row r="9" spans="1:5" hidden="1" outlineLevel="1">
      <c r="A9" s="7" t="s">
        <v>15</v>
      </c>
      <c r="B9" s="6" t="s">
        <v>66</v>
      </c>
      <c r="C9" s="3" t="str">
        <f t="shared" si="2"/>
        <v>0g</v>
      </c>
      <c r="D9" s="6" t="str">
        <f>SUM(IF(ISNUMBER( SEARCH("g",B9)), LEFT(B9, LEN(B9)-1)*1, "")*3)&amp;"g"</f>
        <v>0g</v>
      </c>
      <c r="E9" s="3" t="str">
        <f>SUM(IF(ISNUMBER( SEARCH("g",B9)), LEFT(B9, LEN(B9)-1)*1, "")*4)&amp;"g"</f>
        <v>0g</v>
      </c>
    </row>
    <row r="10" spans="1:5" hidden="1" outlineLevel="1">
      <c r="A10" s="7" t="s">
        <v>17</v>
      </c>
      <c r="B10" s="6" t="s">
        <v>66</v>
      </c>
      <c r="C10" s="3" t="str">
        <f t="shared" si="2"/>
        <v>0g</v>
      </c>
      <c r="D10" s="6" t="str">
        <f>SUM(IF(ISNUMBER( SEARCH("g",B10)), LEFT(B10, LEN(B10)-1)*1, "")*3)&amp;"g"</f>
        <v>0g</v>
      </c>
      <c r="E10" s="3" t="str">
        <f>SUM(IF(ISNUMBER( SEARCH("g",B10)), LEFT(B10, LEN(B10)-1)*1, "")*4)&amp;"g"</f>
        <v>0g</v>
      </c>
    </row>
    <row r="11" spans="1:5" hidden="1" outlineLevel="1">
      <c r="A11" s="7" t="s">
        <v>27</v>
      </c>
      <c r="B11" s="6" t="s">
        <v>66</v>
      </c>
      <c r="C11" s="3" t="str">
        <f t="shared" si="2"/>
        <v>0g</v>
      </c>
      <c r="D11" s="6" t="str">
        <f>SUM(IF(ISNUMBER( SEARCH("g",B11)), LEFT(B11, LEN(B11)-1)*1, "")*3)&amp;"g"</f>
        <v>0g</v>
      </c>
      <c r="E11" s="3" t="str">
        <f>SUM(IF(ISNUMBER( SEARCH("g",B11)), LEFT(B11, LEN(B11)-1)*1, "")*4)&amp;"g"</f>
        <v>0g</v>
      </c>
    </row>
    <row r="12" spans="1:5" hidden="1" outlineLevel="1">
      <c r="A12" s="7" t="s">
        <v>19</v>
      </c>
      <c r="B12" s="6" t="s">
        <v>42</v>
      </c>
      <c r="C12" s="3" t="str">
        <f t="shared" si="2"/>
        <v>38g</v>
      </c>
      <c r="D12" s="6" t="str">
        <f>SUM(IF(ISNUMBER( SEARCH("g",B12)), LEFT(B12, LEN(B12)-1)*1, "")*3)&amp;"g"</f>
        <v>57g</v>
      </c>
      <c r="E12" s="3" t="str">
        <f>SUM(IF(ISNUMBER( SEARCH("g",B12)), LEFT(B12, LEN(B12)-1)*1, "")*4)&amp;"g"</f>
        <v>76g</v>
      </c>
    </row>
    <row r="13" spans="1:5" collapsed="1">
      <c r="A13" s="26" t="s">
        <v>148</v>
      </c>
      <c r="B13" s="26"/>
    </row>
    <row r="14" spans="1:5" hidden="1" outlineLevel="1">
      <c r="A14" s="7" t="s">
        <v>1</v>
      </c>
      <c r="B14" s="9" t="s">
        <v>149</v>
      </c>
      <c r="C14" s="9" t="s">
        <v>150</v>
      </c>
      <c r="D14" s="9" t="s">
        <v>151</v>
      </c>
    </row>
    <row r="15" spans="1:5" hidden="1" outlineLevel="1">
      <c r="A15" s="7" t="s">
        <v>4</v>
      </c>
      <c r="B15" s="2">
        <v>13</v>
      </c>
      <c r="C15" s="3">
        <f>(B15*2)</f>
        <v>26</v>
      </c>
      <c r="D15" s="6">
        <f>(B15*3)</f>
        <v>39</v>
      </c>
    </row>
    <row r="16" spans="1:5" hidden="1" outlineLevel="1">
      <c r="A16" s="7" t="s">
        <v>5</v>
      </c>
      <c r="B16" s="6" t="s">
        <v>8</v>
      </c>
      <c r="C16" s="3" t="str">
        <f t="shared" ref="C16:C17" si="3">SUM(IF(ISNUMBER( SEARCH("g",B16)), LEFT(B16, LEN(B16)-1)*1, "")*2)&amp;"g"</f>
        <v>1g</v>
      </c>
      <c r="D16" s="6" t="str">
        <f>SUM(IF(ISNUMBER( SEARCH("g",B16)), LEFT(B16, LEN(B16)-1)*1, "")*3)&amp;"g"</f>
        <v>1.5g</v>
      </c>
    </row>
    <row r="17" spans="1:4" hidden="1" outlineLevel="1">
      <c r="A17" s="7" t="s">
        <v>7</v>
      </c>
      <c r="B17" s="6" t="s">
        <v>66</v>
      </c>
      <c r="C17" s="3" t="str">
        <f t="shared" si="3"/>
        <v>0g</v>
      </c>
      <c r="D17" s="6" t="str">
        <f>SUM(IF(ISNUMBER( SEARCH("g",B17)), LEFT(B17, LEN(B17)-1)*1, "")*3)&amp;"g"</f>
        <v>0g</v>
      </c>
    </row>
    <row r="18" spans="1:4" hidden="1" outlineLevel="1">
      <c r="A18" s="7" t="s">
        <v>9</v>
      </c>
      <c r="B18" s="6" t="s">
        <v>152</v>
      </c>
      <c r="C18" s="3" t="str">
        <f t="shared" ref="C18:C19" si="4">SUM(IF(ISNUMBER( SEARCH("mg",B18)), LEFT(B18, LEN(B18)-2)*1, "")*2)&amp;"mg"</f>
        <v>12mg</v>
      </c>
      <c r="D18" s="6" t="str">
        <f>SUM(IF(ISNUMBER( SEARCH("mg",B18)), LEFT(B18, LEN(B18)-2)*1, "")*3)&amp;"mg"</f>
        <v>18mg</v>
      </c>
    </row>
    <row r="19" spans="1:4" hidden="1" outlineLevel="1">
      <c r="A19" s="7" t="s">
        <v>49</v>
      </c>
      <c r="B19" s="6" t="s">
        <v>31</v>
      </c>
      <c r="C19" s="3" t="str">
        <f t="shared" si="4"/>
        <v>140mg</v>
      </c>
      <c r="D19" s="6" t="str">
        <f>SUM(IF(ISNUMBER( SEARCH("mg",B19)), LEFT(B19, LEN(B19)-2)*1, "")*3)&amp;"mg"</f>
        <v>210mg</v>
      </c>
    </row>
    <row r="20" spans="1:4" hidden="1" outlineLevel="1">
      <c r="A20" s="7" t="s">
        <v>25</v>
      </c>
      <c r="B20" s="6" t="s">
        <v>153</v>
      </c>
      <c r="C20" s="3" t="str">
        <f t="shared" ref="C20:C24" si="5">SUM(IF(ISNUMBER( SEARCH("g",B20)), LEFT(B20, LEN(B20)-1)*1, "")*2)&amp;"g"</f>
        <v>0g</v>
      </c>
      <c r="D20" s="6" t="str">
        <f>SUM(IF(ISNUMBER( SEARCH("g",B20)), LEFT(B20, LEN(B20)-1)*1, "")*3)&amp;"g"</f>
        <v>0g</v>
      </c>
    </row>
    <row r="21" spans="1:4" hidden="1" outlineLevel="1">
      <c r="A21" s="7" t="s">
        <v>15</v>
      </c>
      <c r="B21" s="6" t="s">
        <v>66</v>
      </c>
      <c r="C21" s="3" t="str">
        <f t="shared" si="5"/>
        <v>0g</v>
      </c>
      <c r="D21" s="6" t="str">
        <f>SUM(IF(ISNUMBER( SEARCH("g",B21)), LEFT(B21, LEN(B21)-1)*1, "")*3)&amp;"g"</f>
        <v>0g</v>
      </c>
    </row>
    <row r="22" spans="1:4" hidden="1" outlineLevel="1">
      <c r="A22" s="7" t="s">
        <v>17</v>
      </c>
      <c r="B22" s="6" t="s">
        <v>8</v>
      </c>
      <c r="C22" s="3" t="str">
        <f t="shared" si="5"/>
        <v>1g</v>
      </c>
      <c r="D22" s="6" t="str">
        <f>SUM(IF(ISNUMBER( SEARCH("g",B22)), LEFT(B22, LEN(B22)-1)*1, "")*3)&amp;"g"</f>
        <v>1.5g</v>
      </c>
    </row>
    <row r="23" spans="1:4" hidden="1" outlineLevel="1">
      <c r="A23" s="7" t="s">
        <v>27</v>
      </c>
      <c r="B23" s="6" t="s">
        <v>66</v>
      </c>
      <c r="C23" s="3" t="str">
        <f t="shared" si="5"/>
        <v>0g</v>
      </c>
      <c r="D23" s="6" t="str">
        <f>SUM(IF(ISNUMBER( SEARCH("g",B23)), LEFT(B23, LEN(B23)-1)*1, "")*3)&amp;"g"</f>
        <v>0g</v>
      </c>
    </row>
    <row r="24" spans="1:4" hidden="1" outlineLevel="1">
      <c r="A24" s="7" t="s">
        <v>19</v>
      </c>
      <c r="B24" s="6" t="s">
        <v>6</v>
      </c>
      <c r="C24" s="3" t="str">
        <f t="shared" si="5"/>
        <v>4g</v>
      </c>
      <c r="D24" s="6" t="str">
        <f>SUM(IF(ISNUMBER( SEARCH("g",B24)), LEFT(B24, LEN(B24)-1)*1, "")*3)&amp;"g"</f>
        <v>6g</v>
      </c>
    </row>
    <row r="25" spans="1:4" collapsed="1">
      <c r="A25" s="26" t="s">
        <v>154</v>
      </c>
      <c r="B25" s="26"/>
      <c r="C25"/>
    </row>
    <row r="26" spans="1:4" hidden="1" outlineLevel="1">
      <c r="A26" s="7" t="s">
        <v>1</v>
      </c>
      <c r="B26" s="9" t="s">
        <v>155</v>
      </c>
      <c r="C26" s="9" t="s">
        <v>156</v>
      </c>
      <c r="D26" s="9" t="s">
        <v>151</v>
      </c>
    </row>
    <row r="27" spans="1:4" hidden="1" outlineLevel="1">
      <c r="A27" s="7" t="s">
        <v>4</v>
      </c>
      <c r="B27" s="2">
        <v>14</v>
      </c>
      <c r="C27" s="3">
        <f>(B27*2)</f>
        <v>28</v>
      </c>
      <c r="D27" s="6">
        <f>(B27*3)</f>
        <v>42</v>
      </c>
    </row>
    <row r="28" spans="1:4" hidden="1" outlineLevel="1">
      <c r="A28" s="7" t="s">
        <v>5</v>
      </c>
      <c r="B28" s="6" t="s">
        <v>14</v>
      </c>
      <c r="C28" s="3" t="str">
        <f t="shared" ref="C28:C29" si="6">SUM(IF(ISNUMBER( SEARCH("g",B28)), LEFT(B28, LEN(B28)-1)*1, "")*2)&amp;"g"</f>
        <v>2g</v>
      </c>
      <c r="D28" s="6" t="str">
        <f>SUM(IF(ISNUMBER( SEARCH("g",B28)), LEFT(B28, LEN(B28)-1)*1, "")*3)&amp;"g"</f>
        <v>3g</v>
      </c>
    </row>
    <row r="29" spans="1:4" hidden="1" outlineLevel="1">
      <c r="A29" s="7" t="s">
        <v>7</v>
      </c>
      <c r="B29" s="6" t="s">
        <v>66</v>
      </c>
      <c r="C29" s="3" t="str">
        <f t="shared" si="6"/>
        <v>0g</v>
      </c>
      <c r="D29" s="6" t="str">
        <f>SUM(IF(ISNUMBER( SEARCH("g",B29)), LEFT(B29, LEN(B29)-1)*1, "")*3)&amp;"g"</f>
        <v>0g</v>
      </c>
    </row>
    <row r="30" spans="1:4" hidden="1" outlineLevel="1">
      <c r="A30" s="7" t="s">
        <v>9</v>
      </c>
      <c r="B30" s="6" t="s">
        <v>152</v>
      </c>
      <c r="C30" s="3" t="str">
        <f t="shared" ref="C30:C31" si="7">SUM(IF(ISNUMBER( SEARCH("mg",B30)), LEFT(B30, LEN(B30)-2)*1, "")*2)&amp;"mg"</f>
        <v>12mg</v>
      </c>
      <c r="D30" s="6" t="str">
        <f>SUM(IF(ISNUMBER( SEARCH("mg",B30)), LEFT(B30, LEN(B30)-2)*1, "")*3)&amp;"mg"</f>
        <v>18mg</v>
      </c>
    </row>
    <row r="31" spans="1:4" hidden="1" outlineLevel="1">
      <c r="A31" s="7" t="s">
        <v>49</v>
      </c>
      <c r="B31" s="6" t="s">
        <v>157</v>
      </c>
      <c r="C31" s="3" t="str">
        <f t="shared" si="7"/>
        <v>260mg</v>
      </c>
      <c r="D31" s="6" t="str">
        <f>SUM(IF(ISNUMBER( SEARCH("mg",B31)), LEFT(B31, LEN(B31)-2)*1, "")*3)&amp;"mg"</f>
        <v>390mg</v>
      </c>
    </row>
    <row r="32" spans="1:4" hidden="1" outlineLevel="1">
      <c r="A32" s="7" t="s">
        <v>25</v>
      </c>
      <c r="B32" s="6" t="s">
        <v>14</v>
      </c>
      <c r="C32" s="3" t="str">
        <f t="shared" ref="C32:C36" si="8">SUM(IF(ISNUMBER( SEARCH("g",B32)), LEFT(B32, LEN(B32)-1)*1, "")*2)&amp;"g"</f>
        <v>2g</v>
      </c>
      <c r="D32" s="6" t="str">
        <f>SUM(IF(ISNUMBER( SEARCH("g",B32)), LEFT(B32, LEN(B32)-1)*1, "")*3)&amp;"g"</f>
        <v>3g</v>
      </c>
    </row>
    <row r="33" spans="1:4" hidden="1" outlineLevel="1">
      <c r="A33" s="7" t="e">
        <f>SUM(IF(ISNUMBER( SEARCH("g",#REF!)), LEFT(#REF!, LEN(#REF!)-1)*1, "")*3)&amp;"g"</f>
        <v>#VALUE!</v>
      </c>
      <c r="B33" s="6" t="s">
        <v>66</v>
      </c>
      <c r="C33" s="3" t="str">
        <f t="shared" si="8"/>
        <v>0g</v>
      </c>
      <c r="D33" s="6" t="str">
        <f>SUM(IF(ISNUMBER( SEARCH("g",B33)), LEFT(B33, LEN(B33)-1)*1, "")*3)&amp;"g"</f>
        <v>0g</v>
      </c>
    </row>
    <row r="34" spans="1:4" hidden="1" outlineLevel="1">
      <c r="A34" s="7" t="s">
        <v>17</v>
      </c>
      <c r="B34" s="6" t="s">
        <v>14</v>
      </c>
      <c r="C34" s="3" t="str">
        <f t="shared" si="8"/>
        <v>2g</v>
      </c>
      <c r="D34" s="6" t="str">
        <f>SUM(IF(ISNUMBER( SEARCH("g",B34)), LEFT(B34, LEN(B34)-1)*1, "")*3)&amp;"g"</f>
        <v>3g</v>
      </c>
    </row>
    <row r="35" spans="1:4" hidden="1" outlineLevel="1">
      <c r="A35" s="7" t="s">
        <v>27</v>
      </c>
      <c r="B35" s="6" t="s">
        <v>66</v>
      </c>
      <c r="C35" s="3" t="str">
        <f t="shared" si="8"/>
        <v>0g</v>
      </c>
      <c r="D35" s="6" t="str">
        <f>SUM(IF(ISNUMBER( SEARCH("g",B35)), LEFT(B35, LEN(B35)-1)*1, "")*3)&amp;"g"</f>
        <v>0g</v>
      </c>
    </row>
    <row r="36" spans="1:4" hidden="1" outlineLevel="1">
      <c r="A36" s="7" t="s">
        <v>19</v>
      </c>
      <c r="B36" s="6" t="s">
        <v>6</v>
      </c>
      <c r="C36" s="3" t="str">
        <f t="shared" si="8"/>
        <v>4g</v>
      </c>
      <c r="D36" s="6" t="str">
        <f>SUM(IF(ISNUMBER( SEARCH("g",B36)), LEFT(B36, LEN(B36)-1)*1, "")*3)&amp;"g"</f>
        <v>6g</v>
      </c>
    </row>
    <row r="37" spans="1:4" collapsed="1"/>
  </sheetData>
  <mergeCells count="3">
    <mergeCell ref="A1:B1"/>
    <mergeCell ref="A25:B25"/>
    <mergeCell ref="A13:B13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E3028-3F7C-4106-8E10-56BDBC34BC48}">
  <sheetPr codeName="Sheet3"/>
  <dimension ref="A1:Q147"/>
  <sheetViews>
    <sheetView zoomScale="115" zoomScaleNormal="115" workbookViewId="0">
      <selection activeCell="F11" sqref="F11"/>
    </sheetView>
  </sheetViews>
  <sheetFormatPr defaultColWidth="9.140625" defaultRowHeight="15" outlineLevelRow="1"/>
  <cols>
    <col min="1" max="1" width="29.140625" style="2" customWidth="1"/>
    <col min="2" max="2" width="35.42578125" style="2" customWidth="1"/>
    <col min="3" max="3" width="28.42578125" style="2" customWidth="1"/>
    <col min="4" max="4" width="16.42578125" style="2" bestFit="1" customWidth="1"/>
    <col min="5" max="5" width="22.42578125" style="2" customWidth="1"/>
    <col min="6" max="6" width="17.7109375" style="2" bestFit="1" customWidth="1"/>
    <col min="7" max="7" width="19.42578125" style="2" customWidth="1"/>
    <col min="8" max="8" width="32.7109375" style="2" customWidth="1"/>
    <col min="9" max="9" width="39.28515625" style="2" customWidth="1"/>
    <col min="10" max="10" width="33" style="2" customWidth="1"/>
    <col min="11" max="13" width="15.7109375" style="2" customWidth="1"/>
    <col min="14" max="16384" width="9.140625" style="2"/>
  </cols>
  <sheetData>
    <row r="1" spans="1:17">
      <c r="A1" s="26" t="s">
        <v>158</v>
      </c>
      <c r="B1" s="26"/>
      <c r="C1" s="26"/>
      <c r="D1" s="26"/>
      <c r="E1" s="26"/>
      <c r="I1"/>
      <c r="J1"/>
      <c r="K1"/>
      <c r="L1"/>
      <c r="M1"/>
      <c r="N1"/>
      <c r="O1"/>
      <c r="P1"/>
      <c r="Q1"/>
    </row>
    <row r="2" spans="1:17">
      <c r="A2" s="26" t="s">
        <v>159</v>
      </c>
      <c r="B2" s="26"/>
      <c r="H2" s="27" t="s">
        <v>160</v>
      </c>
      <c r="I2" s="27"/>
      <c r="K2"/>
      <c r="L2"/>
      <c r="M2"/>
      <c r="N2"/>
      <c r="O2"/>
      <c r="P2" s="5"/>
      <c r="Q2" s="5"/>
    </row>
    <row r="3" spans="1:17" hidden="1" outlineLevel="1">
      <c r="A3" s="2" t="s">
        <v>1</v>
      </c>
      <c r="B3" s="9" t="s">
        <v>78</v>
      </c>
      <c r="C3" s="9" t="s">
        <v>161</v>
      </c>
      <c r="D3" s="9" t="s">
        <v>162</v>
      </c>
      <c r="E3" s="9" t="s">
        <v>163</v>
      </c>
      <c r="F3" s="9" t="s">
        <v>164</v>
      </c>
      <c r="H3" s="5" t="s">
        <v>165</v>
      </c>
      <c r="I3" s="9" t="s">
        <v>166</v>
      </c>
      <c r="J3"/>
      <c r="K3"/>
      <c r="L3"/>
      <c r="M3"/>
      <c r="N3"/>
      <c r="O3"/>
      <c r="P3"/>
      <c r="Q3"/>
    </row>
    <row r="4" spans="1:17" hidden="1" outlineLevel="1">
      <c r="A4" s="2" t="s">
        <v>4</v>
      </c>
      <c r="B4">
        <f>(E4/4)</f>
        <v>73.5</v>
      </c>
      <c r="C4">
        <f>(E4*0.375)</f>
        <v>110.25</v>
      </c>
      <c r="D4">
        <f>(E4*0.5)</f>
        <v>147</v>
      </c>
      <c r="E4" s="2">
        <v>294</v>
      </c>
      <c r="F4" s="3">
        <f>(E4*2)</f>
        <v>588</v>
      </c>
      <c r="H4" s="6">
        <f>E4+Dairy!D75</f>
        <v>454</v>
      </c>
      <c r="I4">
        <f>(F4+Dairy!F75)</f>
        <v>908</v>
      </c>
      <c r="J4"/>
      <c r="K4"/>
      <c r="L4"/>
      <c r="M4"/>
      <c r="N4"/>
      <c r="O4"/>
      <c r="P4"/>
      <c r="Q4"/>
    </row>
    <row r="5" spans="1:17" hidden="1" outlineLevel="1">
      <c r="A5" s="2" t="s">
        <v>5</v>
      </c>
      <c r="B5" s="3" t="str">
        <f>SUM(IF(ISNUMBER( SEARCH("g",E5)), LEFT(E5, LEN(E5)-1)*1, "")*0.25)&amp;"g"</f>
        <v>1g</v>
      </c>
      <c r="C5" s="3" t="str">
        <f>SUM(IF(ISNUMBER( SEARCH("g",E5)), LEFT(E5, LEN(E5)-1)*1, "")*0.375)&amp;"g"</f>
        <v>1.5g</v>
      </c>
      <c r="D5" s="3" t="str">
        <f>SUM(IF(ISNUMBER( SEARCH("g",E5)), LEFT(E5, LEN(E5)-1)*1, "")*0.5)&amp;"g"</f>
        <v>2g</v>
      </c>
      <c r="E5" s="6" t="s">
        <v>37</v>
      </c>
      <c r="F5" s="3" t="str">
        <f t="shared" ref="F5:F6" si="0">SUM(IF(ISNUMBER( SEARCH("g",E5)), LEFT(E5, LEN(E5)-1)*1, "")*2)&amp;"g"</f>
        <v>8g</v>
      </c>
      <c r="H5" s="3" t="str">
        <f>SUM(IF(ISNUMBER( SEARCH("g",E5)), LEFT(E5, LEN(E5)-1)*1, "")+(SUM(IF(ISNUMBER( SEARCH("g",Dairy!D76)), LEFT(Dairy!D76, LEN(Dairy!D76)-1)*1, ""))))&amp;"g"</f>
        <v>12g</v>
      </c>
      <c r="I5" s="3" t="str">
        <f>SUM(IF(ISNUMBER( SEARCH("g",F5)), LEFT(F5, LEN(F5)-1)*1, "")+(SUM(IF(ISNUMBER( SEARCH("g",Dairy!F76)), LEFT(Dairy!F76, LEN(Dairy!F76)-1)*1, ""))))&amp;"g"</f>
        <v>24g</v>
      </c>
      <c r="J5"/>
      <c r="K5"/>
      <c r="L5"/>
      <c r="M5"/>
      <c r="N5"/>
      <c r="O5"/>
      <c r="P5"/>
      <c r="Q5"/>
    </row>
    <row r="6" spans="1:17" hidden="1" outlineLevel="1">
      <c r="A6" s="7" t="s">
        <v>7</v>
      </c>
      <c r="B6" s="3" t="str">
        <f>SUM(IF(ISNUMBER( SEARCH("g",E6)), LEFT(E6, LEN(E6)-1)*1, "")*0.25)&amp;"g"</f>
        <v>0g</v>
      </c>
      <c r="C6" s="3" t="str">
        <f>SUM(IF(ISNUMBER( SEARCH("g",E6)), LEFT(E6, LEN(E6)-1)*1, "")*0.375)&amp;"g"</f>
        <v>0g</v>
      </c>
      <c r="D6" s="3" t="str">
        <f>SUM(IF(ISNUMBER( SEARCH("g",E6)), LEFT(E6, LEN(E6)-1)*1, "")*0.5)&amp;"g"</f>
        <v>0g</v>
      </c>
      <c r="E6" s="6" t="s">
        <v>66</v>
      </c>
      <c r="F6" s="3" t="str">
        <f t="shared" si="0"/>
        <v>0g</v>
      </c>
      <c r="H6" s="3" t="str">
        <f>SUM(IF(ISNUMBER( SEARCH("g",E6)), LEFT(E6, LEN(E6)-1)*1, "")+(SUM(IF(ISNUMBER( SEARCH("g",Dairy!D77)), LEFT(Dairy!D77, LEN(Dairy!D77)-1)*1, ""))))&amp;"g"</f>
        <v>5g</v>
      </c>
      <c r="I6" s="3" t="str">
        <f>SUM(IF(ISNUMBER( SEARCH("g",F6)), LEFT(F6, LEN(F6)-1)*1, "")+(SUM(IF(ISNUMBER( SEARCH("g",Dairy!F77)), LEFT(Dairy!F77, LEN(Dairy!F77)-1)*1, ""))))&amp;"g"</f>
        <v>10g</v>
      </c>
      <c r="J6"/>
      <c r="K6"/>
      <c r="L6"/>
      <c r="M6"/>
      <c r="N6"/>
      <c r="O6"/>
      <c r="P6"/>
      <c r="Q6"/>
    </row>
    <row r="7" spans="1:17" hidden="1" outlineLevel="1">
      <c r="A7" s="2" t="s">
        <v>9</v>
      </c>
      <c r="B7" s="3" t="str">
        <f>SUM(IF(ISNUMBER( SEARCH("mg",E7)), LEFT(E7, LEN(E7)-2)*1, "")*0.25)&amp;"mg"</f>
        <v>0mg</v>
      </c>
      <c r="C7" s="3" t="str">
        <f>SUM(IF(ISNUMBER( SEARCH("mg",E7)), LEFT(E7, LEN(E7)-2)*1, "")*0.375)&amp;"mg"</f>
        <v>0mg</v>
      </c>
      <c r="D7" s="3" t="str">
        <f>SUM(IF(ISNUMBER( SEARCH("mg",E7)), LEFT(E7, LEN(E7)-2)*1, "")*0.5)&amp;"mg"</f>
        <v>0mg</v>
      </c>
      <c r="E7" s="6" t="s">
        <v>23</v>
      </c>
      <c r="F7" s="3" t="str">
        <f t="shared" ref="F7:F8" si="1">SUM(IF(ISNUMBER( SEARCH("mg",E7)), LEFT(E7, LEN(E7)-2)*1, "")*2)&amp;"mg"</f>
        <v>0mg</v>
      </c>
      <c r="H7" s="3" t="str">
        <f>SUM(IF(ISNUMBER( SEARCH("mg",E7)), LEFT(E7, LEN(E7)-2)*1, "")+(SUM(IF(ISNUMBER( SEARCH("mg",Dairy!D78)), LEFT(Dairy!D78, LEN(Dairy!D78)-2)*1, ""))))&amp;"mg"</f>
        <v>35mg</v>
      </c>
      <c r="I7" s="3" t="str">
        <f>SUM(IF(ISNUMBER( SEARCH("mg",F7)), LEFT(F7, LEN(F7)-2)*1, "")+(SUM(IF(ISNUMBER( SEARCH("mg",Dairy!F78)), LEFT(Dairy!F78, LEN(Dairy!F78)-2)*1, ""))))&amp;"mg"</f>
        <v>70mg</v>
      </c>
      <c r="J7"/>
      <c r="K7"/>
      <c r="L7"/>
      <c r="M7"/>
      <c r="N7"/>
      <c r="O7"/>
      <c r="P7"/>
      <c r="Q7"/>
    </row>
    <row r="8" spans="1:17" hidden="1" outlineLevel="1">
      <c r="A8" s="2" t="s">
        <v>11</v>
      </c>
      <c r="B8" s="3" t="str">
        <f>SUM(IF(ISNUMBER( SEARCH("mg",E8)), LEFT(E8, LEN(E8)-2)*1, "")*0.25)&amp;"mg"</f>
        <v>120mg</v>
      </c>
      <c r="C8" s="3" t="str">
        <f>SUM(IF(ISNUMBER( SEARCH("mg",E8)), LEFT(E8, LEN(E8)-2)*1, "")*0.375)&amp;"mg"</f>
        <v>180mg</v>
      </c>
      <c r="D8" s="3" t="str">
        <f>SUM(IF(ISNUMBER( SEARCH("mg",E8)), LEFT(E8, LEN(E8)-2)*1, "")*0.5)&amp;"mg"</f>
        <v>240mg</v>
      </c>
      <c r="E8" s="6" t="s">
        <v>167</v>
      </c>
      <c r="F8" s="3" t="str">
        <f t="shared" si="1"/>
        <v>960mg</v>
      </c>
      <c r="H8" s="3" t="str">
        <f>SUM(IF(ISNUMBER( SEARCH("mg",E8)), LEFT(E8, LEN(E8)-2)*1, "")+(SUM(IF(ISNUMBER( SEARCH("mg",Dairy!D79)), LEFT(Dairy!D79, LEN(Dairy!D79)-2)*1, ""))))&amp;"mg"</f>
        <v>610mg</v>
      </c>
      <c r="I8" s="3" t="str">
        <f>SUM(IF(ISNUMBER( SEARCH("mg",F8)), LEFT(F8, LEN(F8)-2)*1, "")+(SUM(IF(ISNUMBER( SEARCH("mg",Dairy!F79)), LEFT(Dairy!F79, LEN(Dairy!F79)-2)*1, ""))))&amp;"mg"</f>
        <v>1220mg</v>
      </c>
      <c r="J8"/>
      <c r="K8"/>
      <c r="L8"/>
      <c r="M8"/>
      <c r="N8"/>
      <c r="O8"/>
      <c r="P8"/>
      <c r="Q8"/>
    </row>
    <row r="9" spans="1:17" hidden="1" outlineLevel="1">
      <c r="A9" s="2" t="s">
        <v>13</v>
      </c>
      <c r="B9" s="3" t="str">
        <f t="shared" ref="B9:B13" si="2">SUM(IF(ISNUMBER( SEARCH("g",E9)), LEFT(E9, LEN(E9)-1)*1, "")*0.25)&amp;"g"</f>
        <v>15g</v>
      </c>
      <c r="C9" s="3" t="str">
        <f t="shared" ref="C9:C13" si="3">SUM(IF(ISNUMBER( SEARCH("g",E9)), LEFT(E9, LEN(E9)-1)*1, "")*0.375)&amp;"g"</f>
        <v>22.5g</v>
      </c>
      <c r="D9" s="3" t="str">
        <f t="shared" ref="D9:D13" si="4">SUM(IF(ISNUMBER( SEARCH("g",E9)), LEFT(E9, LEN(E9)-1)*1, "")*0.5)&amp;"g"</f>
        <v>30g</v>
      </c>
      <c r="E9" s="6" t="s">
        <v>168</v>
      </c>
      <c r="F9" s="3" t="str">
        <f t="shared" ref="F9:F13" si="5">SUM(IF(ISNUMBER( SEARCH("g",E9)), LEFT(E9, LEN(E9)-1)*1, "")*2)&amp;"g"</f>
        <v>120g</v>
      </c>
      <c r="H9" s="3" t="str">
        <f>SUM(IF(ISNUMBER( SEARCH("g",E9)), LEFT(E9, LEN(E9)-1)*1, "")+(SUM(IF(ISNUMBER( SEARCH("g",Dairy!D80)), LEFT(Dairy!D80, LEN(Dairy!D80)-1)*1, ""))))&amp;"g"</f>
        <v>73g</v>
      </c>
      <c r="I9" s="3" t="str">
        <f>SUM(IF(ISNUMBER( SEARCH("g",F9)), LEFT(F9, LEN(F9)-1)*1, "")+(SUM(IF(ISNUMBER( SEARCH("g",Dairy!F80)), LEFT(Dairy!F80, LEN(Dairy!F80)-1)*1, ""))))&amp;"g"</f>
        <v>146g</v>
      </c>
      <c r="J9"/>
      <c r="K9"/>
      <c r="L9"/>
      <c r="M9"/>
      <c r="N9"/>
      <c r="O9"/>
      <c r="P9"/>
      <c r="Q9"/>
    </row>
    <row r="10" spans="1:17" hidden="1" outlineLevel="1">
      <c r="A10" s="2" t="s">
        <v>15</v>
      </c>
      <c r="B10" s="3" t="str">
        <f t="shared" si="2"/>
        <v>2g</v>
      </c>
      <c r="C10" s="3" t="str">
        <f t="shared" si="3"/>
        <v>3g</v>
      </c>
      <c r="D10" s="3" t="str">
        <f t="shared" si="4"/>
        <v>4g</v>
      </c>
      <c r="E10" s="6" t="s">
        <v>63</v>
      </c>
      <c r="F10" s="3" t="str">
        <f t="shared" si="5"/>
        <v>16g</v>
      </c>
      <c r="H10" s="3" t="str">
        <f>SUM(IF(ISNUMBER( SEARCH("g",E10)), LEFT(E10, LEN(E10)-1)*1, "")+(SUM(IF(ISNUMBER( SEARCH("g",Dairy!D81)), LEFT(Dairy!D81, LEN(Dairy!D81)-1)*1, ""))))&amp;"g"</f>
        <v>8g</v>
      </c>
      <c r="I10" s="3" t="str">
        <f>SUM(IF(ISNUMBER( SEARCH("g",F10)), LEFT(F10, LEN(F10)-1)*1, "")+(SUM(IF(ISNUMBER( SEARCH("g",Dairy!F81)), LEFT(Dairy!F81, LEN(Dairy!F81)-1)*1, ""))))&amp;"g"</f>
        <v>16g</v>
      </c>
      <c r="J10"/>
      <c r="K10"/>
      <c r="L10"/>
      <c r="M10"/>
      <c r="N10"/>
      <c r="O10"/>
      <c r="P10"/>
      <c r="Q10"/>
    </row>
    <row r="11" spans="1:17" hidden="1" outlineLevel="1">
      <c r="A11" s="2" t="s">
        <v>17</v>
      </c>
      <c r="B11" s="3" t="str">
        <f t="shared" si="2"/>
        <v>6g</v>
      </c>
      <c r="C11" s="3" t="str">
        <f t="shared" si="3"/>
        <v>9g</v>
      </c>
      <c r="D11" s="3" t="str">
        <f t="shared" si="4"/>
        <v>12g</v>
      </c>
      <c r="E11" s="6" t="s">
        <v>73</v>
      </c>
      <c r="F11" s="3" t="str">
        <f t="shared" si="5"/>
        <v>48g</v>
      </c>
      <c r="H11" s="3" t="str">
        <f>SUM(IF(ISNUMBER( SEARCH("g",E11)), LEFT(E11, LEN(E11)-1)*1, "")+(SUM(IF(ISNUMBER( SEARCH("g",Dairy!D82)), LEFT(Dairy!D82, LEN(Dairy!D82)-1)*1, ""))))&amp;"g"</f>
        <v>36g</v>
      </c>
      <c r="I11" s="3" t="str">
        <f>SUM(IF(ISNUMBER( SEARCH("g",F11)), LEFT(F11, LEN(F11)-1)*1, "")+(SUM(IF(ISNUMBER( SEARCH("g",Dairy!F82)), LEFT(Dairy!F82, LEN(Dairy!F82)-1)*1, ""))))&amp;"g"</f>
        <v>72g</v>
      </c>
      <c r="J11"/>
      <c r="K11"/>
      <c r="L11"/>
      <c r="M11"/>
      <c r="N11"/>
      <c r="O11"/>
      <c r="P11"/>
      <c r="Q11"/>
    </row>
    <row r="12" spans="1:17" hidden="1" outlineLevel="1">
      <c r="A12" s="2" t="s">
        <v>27</v>
      </c>
      <c r="B12" s="3" t="str">
        <f t="shared" si="2"/>
        <v>0g</v>
      </c>
      <c r="C12" s="3" t="str">
        <f t="shared" si="3"/>
        <v>0g</v>
      </c>
      <c r="D12" s="3" t="str">
        <f t="shared" si="4"/>
        <v>0g</v>
      </c>
      <c r="E12" s="6" t="s">
        <v>66</v>
      </c>
      <c r="F12" s="3" t="str">
        <f t="shared" si="5"/>
        <v>0g</v>
      </c>
      <c r="H12" s="3" t="str">
        <f>SUM(IF(ISNUMBER( SEARCH("g",E12)), LEFT(E12, LEN(E12)-1)*1, "")+(SUM(IF(ISNUMBER( SEARCH("g",Dairy!D83)), LEFT(Dairy!D83, LEN(Dairy!D83)-1)*1, ""))))&amp;"g"</f>
        <v>0g</v>
      </c>
      <c r="I12" s="3" t="str">
        <f>SUM(IF(ISNUMBER( SEARCH("g",F12)), LEFT(F12, LEN(F12)-1)*1, "")+(SUM(IF(ISNUMBER( SEARCH("g",Dairy!F83)), LEFT(Dairy!F83, LEN(Dairy!F83)-1)*1, ""))))&amp;"g"</f>
        <v>0g</v>
      </c>
      <c r="J12"/>
      <c r="K12"/>
      <c r="L12"/>
      <c r="M12"/>
      <c r="N12"/>
      <c r="O12"/>
      <c r="P12"/>
      <c r="Q12"/>
    </row>
    <row r="13" spans="1:17" hidden="1" outlineLevel="1">
      <c r="A13" s="2" t="s">
        <v>19</v>
      </c>
      <c r="B13" s="3" t="str">
        <f t="shared" si="2"/>
        <v>2g</v>
      </c>
      <c r="C13" s="3" t="str">
        <f t="shared" si="3"/>
        <v>3g</v>
      </c>
      <c r="D13" s="3" t="str">
        <f t="shared" si="4"/>
        <v>4g</v>
      </c>
      <c r="E13" s="6" t="s">
        <v>63</v>
      </c>
      <c r="F13" s="3" t="str">
        <f t="shared" si="5"/>
        <v>16g</v>
      </c>
      <c r="H13" s="3" t="str">
        <f>SUM(IF(ISNUMBER( SEARCH("g",E13)), LEFT(E13, LEN(E13)-1)*1, "")+(SUM(IF(ISNUMBER( SEARCH("g",Dairy!D84)), LEFT(Dairy!D84, LEN(Dairy!D84)-1)*1, ""))))&amp;"g"</f>
        <v>17g</v>
      </c>
      <c r="I13" s="3" t="str">
        <f>SUM(IF(ISNUMBER( SEARCH("g",F13)), LEFT(F13, LEN(F13)-1)*1, "")+(SUM(IF(ISNUMBER( SEARCH("g",Dairy!F84)), LEFT(Dairy!F84, LEN(Dairy!F84)-1)*1, ""))))&amp;"g"</f>
        <v>34g</v>
      </c>
      <c r="J13"/>
      <c r="K13"/>
      <c r="L13"/>
      <c r="M13"/>
      <c r="N13"/>
      <c r="O13"/>
      <c r="P13"/>
      <c r="Q13"/>
    </row>
    <row r="14" spans="1:17" collapsed="1">
      <c r="A14" s="26" t="s">
        <v>169</v>
      </c>
      <c r="B14" s="26"/>
      <c r="C14" s="6"/>
      <c r="D14" s="6"/>
      <c r="E14" s="6"/>
      <c r="F14"/>
      <c r="H14"/>
      <c r="I14"/>
      <c r="J14"/>
      <c r="K14"/>
      <c r="L14"/>
      <c r="M14"/>
      <c r="N14"/>
      <c r="O14"/>
      <c r="P14"/>
      <c r="Q14"/>
    </row>
    <row r="15" spans="1:17" hidden="1" outlineLevel="1">
      <c r="A15" s="2" t="s">
        <v>1</v>
      </c>
      <c r="B15" s="9" t="s">
        <v>170</v>
      </c>
      <c r="C15" s="9" t="s">
        <v>171</v>
      </c>
      <c r="D15" s="9" t="s">
        <v>162</v>
      </c>
      <c r="E15" s="9" t="s">
        <v>163</v>
      </c>
      <c r="F15" s="9" t="s">
        <v>164</v>
      </c>
      <c r="H15" s="5" t="s">
        <v>165</v>
      </c>
      <c r="I15" s="9" t="s">
        <v>166</v>
      </c>
    </row>
    <row r="16" spans="1:17" hidden="1" outlineLevel="1">
      <c r="A16" s="2" t="s">
        <v>4</v>
      </c>
      <c r="B16">
        <f>(E16/4)</f>
        <v>55.5</v>
      </c>
      <c r="C16">
        <f>(E16*0.375)</f>
        <v>83.25</v>
      </c>
      <c r="D16">
        <f>(E16*0.5)</f>
        <v>111</v>
      </c>
      <c r="E16" s="3">
        <v>222</v>
      </c>
      <c r="F16">
        <f>(E16*2)</f>
        <v>444</v>
      </c>
      <c r="H16" s="2">
        <f>E16+Dairy!D75</f>
        <v>382</v>
      </c>
      <c r="I16" s="3">
        <f>(F16+Dairy!F75)</f>
        <v>764</v>
      </c>
    </row>
    <row r="17" spans="1:9" hidden="1" outlineLevel="1">
      <c r="A17" s="2" t="s">
        <v>5</v>
      </c>
      <c r="B17" s="3" t="str">
        <f>SUM(IF(ISNUMBER( SEARCH("g",E17)), LEFT(E17, LEN(E17)-1)*1, "")*0.25)&amp;"g"</f>
        <v>1.5g</v>
      </c>
      <c r="C17" s="3" t="str">
        <f t="shared" ref="C17:C18" si="6">SUM(IF(ISNUMBER( SEARCH("g",E17)), LEFT(E17, LEN(E17)-1)*1, "")*0.375)&amp;"g"</f>
        <v>2.25g</v>
      </c>
      <c r="D17" s="3" t="str">
        <f t="shared" ref="D17:D18" si="7">SUM(IF(ISNUMBER( SEARCH("g",E17)), LEFT(E17, LEN(E17)-1)*1, "")*0.5)&amp;"g"</f>
        <v>3g</v>
      </c>
      <c r="E17" s="3" t="s">
        <v>56</v>
      </c>
      <c r="F17" s="3" t="str">
        <f t="shared" ref="F17:F18" si="8">SUM(IF(ISNUMBER( SEARCH("g",E17)), LEFT(E17, LEN(E17)-1)*1, "")*2)&amp;"g"</f>
        <v>12g</v>
      </c>
      <c r="H17" s="3" t="str">
        <f>SUM(IF(ISNUMBER( SEARCH("g",E17)), LEFT(E17, LEN(E17)-1)*1, "")+(SUM(IF(ISNUMBER( SEARCH("g",Dairy!D76)), LEFT(Dairy!D76, LEN(Dairy!D76)-1)*1, ""))))&amp;"g"</f>
        <v>14g</v>
      </c>
      <c r="I17" s="3" t="str">
        <f>SUM(IF(ISNUMBER( SEARCH("g",F17)), LEFT(F17, LEN(F17)-1)*1, "")+(SUM(IF(ISNUMBER( SEARCH("g",Dairy!F76)), LEFT(Dairy!F76, LEN(Dairy!F76)-1)*1, ""))))&amp;"g"</f>
        <v>28g</v>
      </c>
    </row>
    <row r="18" spans="1:9" hidden="1" outlineLevel="1">
      <c r="A18" s="7" t="s">
        <v>7</v>
      </c>
      <c r="B18" s="3" t="str">
        <f>SUM(IF(ISNUMBER( SEARCH("g",E18)), LEFT(E18, LEN(E18)-1)*1, "")*0.25)&amp;"g"</f>
        <v>0g</v>
      </c>
      <c r="C18" s="3" t="str">
        <f t="shared" si="6"/>
        <v>0g</v>
      </c>
      <c r="D18" s="3" t="str">
        <f t="shared" si="7"/>
        <v>0g</v>
      </c>
      <c r="E18" s="3" t="s">
        <v>66</v>
      </c>
      <c r="F18" s="3" t="str">
        <f t="shared" si="8"/>
        <v>0g</v>
      </c>
      <c r="H18" s="3" t="str">
        <f>SUM(IF(ISNUMBER( SEARCH("g",E18)), LEFT(E18, LEN(E18)-1)*1, "")+(SUM(IF(ISNUMBER( SEARCH("g",Dairy!D77)), LEFT(Dairy!D77, LEN(Dairy!D77)-1)*1, ""))))&amp;"g"</f>
        <v>5g</v>
      </c>
      <c r="I18" s="3" t="str">
        <f>SUM(IF(ISNUMBER( SEARCH("g",F18)), LEFT(F18, LEN(F18)-1)*1, "")+(SUM(IF(ISNUMBER( SEARCH("g",Dairy!F77)), LEFT(Dairy!F77, LEN(Dairy!F77)-1)*1, ""))))&amp;"g"</f>
        <v>10g</v>
      </c>
    </row>
    <row r="19" spans="1:9" hidden="1" outlineLevel="1">
      <c r="A19" s="2" t="s">
        <v>9</v>
      </c>
      <c r="B19" s="3" t="str">
        <f t="shared" ref="B19:B20" si="9">SUM(IF(ISNUMBER( SEARCH("mg",E19)), LEFT(E19, LEN(E19)-2)*1, "")*0.25)&amp;"mg"</f>
        <v>0mg</v>
      </c>
      <c r="C19" s="3" t="str">
        <f t="shared" ref="C19:C20" si="10">SUM(IF(ISNUMBER( SEARCH("mg",E19)), LEFT(E19, LEN(E19)-2)*1, "")*0.375)&amp;"mg"</f>
        <v>0mg</v>
      </c>
      <c r="D19" s="3" t="str">
        <f t="shared" ref="D19:D20" si="11">SUM(IF(ISNUMBER( SEARCH("mg",E19)), LEFT(E19, LEN(E19)-2)*1, "")*0.5)&amp;"mg"</f>
        <v>0mg</v>
      </c>
      <c r="E19" s="3" t="s">
        <v>23</v>
      </c>
      <c r="F19" s="3" t="str">
        <f t="shared" ref="F19:F20" si="12">SUM(IF(ISNUMBER( SEARCH("mg",E19)), LEFT(E19, LEN(E19)-2)*1, "")*2)&amp;"mg"</f>
        <v>0mg</v>
      </c>
      <c r="H19" s="3" t="str">
        <f>SUM(IF(ISNUMBER( SEARCH("mg",E19)), LEFT(E19, LEN(E19)-2)*1, "")+(SUM(IF(ISNUMBER( SEARCH("mg",Dairy!D78)), LEFT(Dairy!D78, LEN(Dairy!D78)-2)*1, ""))))&amp;"mg"</f>
        <v>35mg</v>
      </c>
      <c r="I19" s="3" t="str">
        <f>SUM(IF(ISNUMBER( SEARCH("mg",F19)), LEFT(F19, LEN(F19)-2)*1, "")+(SUM(IF(ISNUMBER( SEARCH("mg",Dairy!F78)), LEFT(Dairy!F78, LEN(Dairy!F78)-2)*1, ""))))&amp;"mg"</f>
        <v>70mg</v>
      </c>
    </row>
    <row r="20" spans="1:9" hidden="1" outlineLevel="1">
      <c r="A20" s="2" t="s">
        <v>11</v>
      </c>
      <c r="B20" s="3" t="str">
        <f t="shared" si="9"/>
        <v>74mg</v>
      </c>
      <c r="C20" s="3" t="str">
        <f t="shared" si="10"/>
        <v>111mg</v>
      </c>
      <c r="D20" s="3" t="str">
        <f t="shared" si="11"/>
        <v>148mg</v>
      </c>
      <c r="E20" s="3" t="s">
        <v>172</v>
      </c>
      <c r="F20" s="3" t="str">
        <f t="shared" si="12"/>
        <v>592mg</v>
      </c>
      <c r="H20" s="3" t="str">
        <f>SUM(IF(ISNUMBER( SEARCH("mg",E20)), LEFT(E20, LEN(E20)-2)*1, "")+(SUM(IF(ISNUMBER( SEARCH("mg",Dairy!D79)), LEFT(Dairy!D79, LEN(Dairy!D79)-2)*1, ""))))&amp;"mg"</f>
        <v>426mg</v>
      </c>
      <c r="I20" s="3" t="str">
        <f>SUM(IF(ISNUMBER( SEARCH("mg",F20)), LEFT(F20, LEN(F20)-2)*1, "")+(SUM(IF(ISNUMBER( SEARCH("mg",Dairy!F79)), LEFT(Dairy!F79, LEN(Dairy!F79)-2)*1, ""))))&amp;"mg"</f>
        <v>852mg</v>
      </c>
    </row>
    <row r="21" spans="1:9" hidden="1" outlineLevel="1">
      <c r="A21" s="2" t="s">
        <v>13</v>
      </c>
      <c r="B21" s="3" t="str">
        <f t="shared" ref="B21:B25" si="13">SUM(IF(ISNUMBER( SEARCH("g",E21)), LEFT(E21, LEN(E21)-1)*1, "")*0.25)&amp;"g"</f>
        <v>22.5g</v>
      </c>
      <c r="C21" s="3" t="str">
        <f t="shared" ref="C21:C25" si="14">SUM(IF(ISNUMBER( SEARCH("g",E21)), LEFT(E21, LEN(E21)-1)*1, "")*0.375)&amp;"g"</f>
        <v>33.75g</v>
      </c>
      <c r="D21" s="3" t="str">
        <f t="shared" ref="D21:D25" si="15">SUM(IF(ISNUMBER( SEARCH("g",E21)), LEFT(E21, LEN(E21)-1)*1, "")*0.5)&amp;"g"</f>
        <v>45g</v>
      </c>
      <c r="E21" s="3" t="s">
        <v>173</v>
      </c>
      <c r="F21" s="3" t="str">
        <f t="shared" ref="F21:F25" si="16">SUM(IF(ISNUMBER( SEARCH("g",E21)), LEFT(E21, LEN(E21)-1)*1, "")*2)&amp;"g"</f>
        <v>180g</v>
      </c>
      <c r="H21" s="3" t="str">
        <f>SUM(IF(ISNUMBER( SEARCH("g",E21)), LEFT(E21, LEN(E21)-1)*1, "")+(SUM(IF(ISNUMBER( SEARCH("g",Dairy!D80)), LEFT(Dairy!D80, LEN(Dairy!D80)-1)*1, ""))))&amp;"g"</f>
        <v>103g</v>
      </c>
      <c r="I21" s="3" t="str">
        <f>SUM(IF(ISNUMBER( SEARCH("g",F21)), LEFT(F21, LEN(F21)-1)*1, "")+(SUM(IF(ISNUMBER( SEARCH("g",Dairy!F80)), LEFT(Dairy!F80, LEN(Dairy!F80)-1)*1, ""))))&amp;"g"</f>
        <v>206g</v>
      </c>
    </row>
    <row r="22" spans="1:9" hidden="1" outlineLevel="1">
      <c r="A22" s="2" t="s">
        <v>15</v>
      </c>
      <c r="B22" s="3" t="str">
        <f t="shared" si="13"/>
        <v>30g</v>
      </c>
      <c r="C22" s="3" t="str">
        <f t="shared" si="14"/>
        <v>45g</v>
      </c>
      <c r="D22" s="3" t="str">
        <f t="shared" si="15"/>
        <v>60g</v>
      </c>
      <c r="E22" s="3" t="s">
        <v>174</v>
      </c>
      <c r="F22" s="3" t="str">
        <f t="shared" si="16"/>
        <v>240g</v>
      </c>
      <c r="H22" s="3" t="str">
        <f>SUM(IF(ISNUMBER( SEARCH("g",E22)), LEFT(E22, LEN(E22)-1)*1, "")+(SUM(IF(ISNUMBER( SEARCH("g",Dairy!D81)), LEFT(Dairy!D81, LEN(Dairy!D81)-1)*1, ""))))&amp;"g"</f>
        <v>120g</v>
      </c>
      <c r="I22" s="3" t="str">
        <f>SUM(IF(ISNUMBER( SEARCH("g",F22)), LEFT(F22, LEN(F22)-1)*1, "")+(SUM(IF(ISNUMBER( SEARCH("g",Dairy!F81)), LEFT(Dairy!F81, LEN(Dairy!F81)-1)*1, ""))))&amp;"g"</f>
        <v>240g</v>
      </c>
    </row>
    <row r="23" spans="1:9" hidden="1" outlineLevel="1">
      <c r="A23" s="2" t="s">
        <v>17</v>
      </c>
      <c r="B23" s="3" t="str">
        <f t="shared" si="13"/>
        <v>9g</v>
      </c>
      <c r="C23" s="3" t="str">
        <f t="shared" si="14"/>
        <v>13.5g</v>
      </c>
      <c r="D23" s="3" t="str">
        <f t="shared" si="15"/>
        <v>18g</v>
      </c>
      <c r="E23" s="3" t="s">
        <v>91</v>
      </c>
      <c r="F23" s="3" t="str">
        <f t="shared" si="16"/>
        <v>72g</v>
      </c>
      <c r="H23" s="3" t="str">
        <f>SUM(IF(ISNUMBER( SEARCH("g",E23)), LEFT(E23, LEN(E23)-1)*1, "")+(SUM(IF(ISNUMBER( SEARCH("g",Dairy!D82)), LEFT(Dairy!D82, LEN(Dairy!D82)-1)*1, ""))))&amp;"g"</f>
        <v>48g</v>
      </c>
      <c r="I23" s="3" t="str">
        <f>SUM(IF(ISNUMBER( SEARCH("g",F23)), LEFT(F23, LEN(F23)-1)*1, "")+(SUM(IF(ISNUMBER( SEARCH("g",Dairy!F82)), LEFT(Dairy!F82, LEN(Dairy!F82)-1)*1, ""))))&amp;"g"</f>
        <v>96g</v>
      </c>
    </row>
    <row r="24" spans="1:9" hidden="1" outlineLevel="1">
      <c r="A24" s="2" t="s">
        <v>27</v>
      </c>
      <c r="B24" s="3" t="str">
        <f t="shared" si="13"/>
        <v>0g</v>
      </c>
      <c r="C24" s="3" t="str">
        <f t="shared" si="14"/>
        <v>0g</v>
      </c>
      <c r="D24" s="3" t="str">
        <f t="shared" si="15"/>
        <v>0g</v>
      </c>
      <c r="E24" s="3" t="s">
        <v>66</v>
      </c>
      <c r="F24" s="3" t="str">
        <f t="shared" si="16"/>
        <v>0g</v>
      </c>
      <c r="H24" s="3" t="str">
        <f>SUM(IF(ISNUMBER( SEARCH("g",E24)), LEFT(E24, LEN(E24)-1)*1, "")+(SUM(IF(ISNUMBER( SEARCH("g",Dairy!D83)), LEFT(Dairy!D83, LEN(Dairy!D83)-1)*1, ""))))&amp;"g"</f>
        <v>0g</v>
      </c>
      <c r="I24" s="3" t="str">
        <f>SUM(IF(ISNUMBER( SEARCH("g",F24)), LEFT(F24, LEN(F24)-1)*1, "")+(SUM(IF(ISNUMBER( SEARCH("g",Dairy!F83)), LEFT(Dairy!F83, LEN(Dairy!F83)-1)*1, ""))))&amp;"g"</f>
        <v>0g</v>
      </c>
    </row>
    <row r="25" spans="1:9" hidden="1" outlineLevel="1">
      <c r="A25" s="2" t="s">
        <v>19</v>
      </c>
      <c r="B25" s="3" t="str">
        <f t="shared" si="13"/>
        <v>3g</v>
      </c>
      <c r="C25" s="3" t="str">
        <f t="shared" si="14"/>
        <v>4.5g</v>
      </c>
      <c r="D25" s="3" t="str">
        <f t="shared" si="15"/>
        <v>6g</v>
      </c>
      <c r="E25" s="3" t="s">
        <v>87</v>
      </c>
      <c r="F25" s="3" t="str">
        <f t="shared" si="16"/>
        <v>24g</v>
      </c>
      <c r="H25" s="3" t="str">
        <f>SUM(IF(ISNUMBER( SEARCH("g",E25)), LEFT(E25, LEN(E25)-1)*1, "")+(SUM(IF(ISNUMBER( SEARCH("g",Dairy!D84)), LEFT(Dairy!D84, LEN(Dairy!D84)-1)*1, ""))))&amp;"g"</f>
        <v>21g</v>
      </c>
      <c r="I25" s="3" t="str">
        <f>SUM(IF(ISNUMBER( SEARCH("g",F25)), LEFT(F25, LEN(F25)-1)*1, "")+(SUM(IF(ISNUMBER( SEARCH("g",Dairy!F84)), LEFT(Dairy!F84, LEN(Dairy!F84)-1)*1, ""))))&amp;"g"</f>
        <v>42g</v>
      </c>
    </row>
    <row r="26" spans="1:9" collapsed="1">
      <c r="A26" s="26" t="s">
        <v>175</v>
      </c>
      <c r="B26" s="26"/>
      <c r="F26"/>
    </row>
    <row r="27" spans="1:9" hidden="1" outlineLevel="1">
      <c r="A27" s="2" t="s">
        <v>1</v>
      </c>
      <c r="B27" s="9" t="s">
        <v>170</v>
      </c>
      <c r="C27" s="9" t="s">
        <v>171</v>
      </c>
      <c r="D27" s="9" t="s">
        <v>162</v>
      </c>
      <c r="E27" s="9" t="s">
        <v>163</v>
      </c>
      <c r="F27" s="9" t="s">
        <v>164</v>
      </c>
      <c r="H27" s="14" t="s">
        <v>176</v>
      </c>
      <c r="I27" s="9" t="s">
        <v>177</v>
      </c>
    </row>
    <row r="28" spans="1:9" hidden="1" outlineLevel="1">
      <c r="A28" s="2" t="s">
        <v>4</v>
      </c>
      <c r="B28">
        <f>(E28/4)</f>
        <v>80</v>
      </c>
      <c r="C28">
        <f>(E28*0.375)</f>
        <v>120</v>
      </c>
      <c r="D28">
        <f>(E28*0.5)</f>
        <v>160</v>
      </c>
      <c r="E28" s="6">
        <v>320</v>
      </c>
      <c r="F28">
        <f>(E28*2)</f>
        <v>640</v>
      </c>
      <c r="H28" s="2">
        <f>E28+Dairy!D75</f>
        <v>480</v>
      </c>
      <c r="I28" s="3">
        <f>(F28+Dairy!F75)</f>
        <v>960</v>
      </c>
    </row>
    <row r="29" spans="1:9" hidden="1" outlineLevel="1">
      <c r="A29" s="2" t="s">
        <v>5</v>
      </c>
      <c r="B29" s="3" t="str">
        <f>SUM(IF(ISNUMBER( SEARCH("g",E29)), LEFT(E29, LEN(E29)-1)*1, "")*0.25)&amp;"g"</f>
        <v>1g</v>
      </c>
      <c r="C29" s="3" t="str">
        <f t="shared" ref="C29:C30" si="17">SUM(IF(ISNUMBER( SEARCH("g",E29)), LEFT(E29, LEN(E29)-1)*1, "")*0.375)&amp;"g"</f>
        <v>1.5g</v>
      </c>
      <c r="D29" s="3" t="str">
        <f t="shared" ref="D29:D30" si="18">SUM(IF(ISNUMBER( SEARCH("g",E29)), LEFT(E29, LEN(E29)-1)*1, "")*0.5)&amp;"g"</f>
        <v>2g</v>
      </c>
      <c r="E29" s="6" t="s">
        <v>37</v>
      </c>
      <c r="F29" s="3" t="str">
        <f t="shared" ref="F29:F30" si="19">SUM(IF(ISNUMBER( SEARCH("g",E29)), LEFT(E29, LEN(E29)-1)*1, "")*2)&amp;"g"</f>
        <v>8g</v>
      </c>
      <c r="H29" s="6" t="str">
        <f>SUM(IF(ISNUMBER( SEARCH("g",E29)), LEFT(E29, LEN(E29)-1)*1, "")+(SUM(IF(ISNUMBER( SEARCH("g",Dairy!D76)), LEFT(Dairy!D76, LEN(Dairy!D76)-1)*1, ""))))&amp;"g"</f>
        <v>12g</v>
      </c>
      <c r="I29" s="3" t="str">
        <f>SUM(IF(ISNUMBER( SEARCH("g",F29)), LEFT(F29, LEN(F29)-1)*1, "")+(SUM(IF(ISNUMBER( SEARCH("g",Dairy!F76)), LEFT(Dairy!F76, LEN(Dairy!F76)-1)*1, ""))))&amp;"g"</f>
        <v>24g</v>
      </c>
    </row>
    <row r="30" spans="1:9" hidden="1" outlineLevel="1">
      <c r="A30" s="7" t="s">
        <v>7</v>
      </c>
      <c r="B30" s="3" t="str">
        <f>SUM(IF(ISNUMBER( SEARCH("g",E30)), LEFT(E30, LEN(E30)-1)*1, "")*0.25)&amp;"g"</f>
        <v>0g</v>
      </c>
      <c r="C30" s="3" t="str">
        <f t="shared" si="17"/>
        <v>0g</v>
      </c>
      <c r="D30" s="3" t="str">
        <f t="shared" si="18"/>
        <v>0g</v>
      </c>
      <c r="E30" s="6" t="s">
        <v>66</v>
      </c>
      <c r="F30" s="3" t="str">
        <f t="shared" si="19"/>
        <v>0g</v>
      </c>
      <c r="H30" s="6" t="str">
        <f>SUM(IF(ISNUMBER( SEARCH("g",E30)), LEFT(E30, LEN(E30)-1)*1, "")+(SUM(IF(ISNUMBER( SEARCH("g",Dairy!D77)), LEFT(Dairy!D77, LEN(Dairy!D77)-1)*1, ""))))&amp;"g"</f>
        <v>5g</v>
      </c>
      <c r="I30" s="3" t="str">
        <f>SUM(IF(ISNUMBER( SEARCH("g",F30)), LEFT(F30, LEN(F30)-1)*1, "")+(SUM(IF(ISNUMBER( SEARCH("g",Dairy!F77)), LEFT(Dairy!F77, LEN(Dairy!F77)-1)*1, ""))))&amp;"g"</f>
        <v>10g</v>
      </c>
    </row>
    <row r="31" spans="1:9" hidden="1" outlineLevel="1">
      <c r="A31" s="2" t="s">
        <v>9</v>
      </c>
      <c r="B31" s="3" t="str">
        <f t="shared" ref="B31:B32" si="20">SUM(IF(ISNUMBER( SEARCH("mg",E31)), LEFT(E31, LEN(E31)-2)*1, "")*0.25)&amp;"mg"</f>
        <v>0mg</v>
      </c>
      <c r="C31" s="3" t="str">
        <f t="shared" ref="C31:C32" si="21">SUM(IF(ISNUMBER( SEARCH("mg",E31)), LEFT(E31, LEN(E31)-2)*1, "")*0.375)&amp;"mg"</f>
        <v>0mg</v>
      </c>
      <c r="D31" s="3" t="str">
        <f t="shared" ref="D31:D32" si="22">SUM(IF(ISNUMBER( SEARCH("mg",E31)), LEFT(E31, LEN(E31)-2)*1, "")*0.5)&amp;"mg"</f>
        <v>0mg</v>
      </c>
      <c r="E31" s="6" t="s">
        <v>23</v>
      </c>
      <c r="F31" s="3" t="str">
        <f t="shared" ref="F31:F32" si="23">SUM(IF(ISNUMBER( SEARCH("mg",E31)), LEFT(E31, LEN(E31)-2)*1, "")*2)&amp;"mg"</f>
        <v>0mg</v>
      </c>
      <c r="H31" s="6" t="str">
        <f>SUM(IF(ISNUMBER( SEARCH("mg",E31)), LEFT(E31, LEN(E31)-2)*1, "")+(SUM(IF(ISNUMBER( SEARCH("mg",Dairy!D78)), LEFT(Dairy!D78, LEN(Dairy!D78)-2)*1, ""))))&amp;"mg"</f>
        <v>35mg</v>
      </c>
      <c r="I31" s="3" t="str">
        <f>SUM(IF(ISNUMBER( SEARCH("mg",F31)), LEFT(F31, LEN(F31)-2)*1, "")+(SUM(IF(ISNUMBER( SEARCH("mg",Dairy!F78)), LEFT(Dairy!F78, LEN(Dairy!F78)-2)*1, ""))))&amp;"mg"</f>
        <v>70mg</v>
      </c>
    </row>
    <row r="32" spans="1:9" hidden="1" outlineLevel="1">
      <c r="A32" s="2" t="s">
        <v>11</v>
      </c>
      <c r="B32" s="3" t="str">
        <f t="shared" si="20"/>
        <v>85mg</v>
      </c>
      <c r="C32" s="3" t="str">
        <f t="shared" si="21"/>
        <v>127.5mg</v>
      </c>
      <c r="D32" s="3" t="str">
        <f t="shared" si="22"/>
        <v>170mg</v>
      </c>
      <c r="E32" s="6" t="s">
        <v>178</v>
      </c>
      <c r="F32" s="3" t="str">
        <f t="shared" si="23"/>
        <v>680mg</v>
      </c>
      <c r="H32" s="6" t="str">
        <f>SUM(IF(ISNUMBER( SEARCH("mg",E32)), LEFT(E32, LEN(E32)-2)*1, "")+(SUM(IF(ISNUMBER( SEARCH("mg",Dairy!D79)), LEFT(Dairy!D79, LEN(Dairy!D79)-2)*1, ""))))&amp;"mg"</f>
        <v>470mg</v>
      </c>
      <c r="I32" s="3" t="str">
        <f>SUM(IF(ISNUMBER( SEARCH("mg",F32)), LEFT(F32, LEN(F32)-2)*1, "")+(SUM(IF(ISNUMBER( SEARCH("mg",Dairy!F79)), LEFT(Dairy!F79, LEN(Dairy!F79)-2)*1, ""))))&amp;"mg"</f>
        <v>940mg</v>
      </c>
    </row>
    <row r="33" spans="1:9" hidden="1" outlineLevel="1">
      <c r="A33" s="2" t="s">
        <v>13</v>
      </c>
      <c r="B33" s="3" t="str">
        <f t="shared" ref="B33:B37" si="24">SUM(IF(ISNUMBER( SEARCH("g",E33)), LEFT(E33, LEN(E33)-1)*1, "")*0.25)&amp;"g"</f>
        <v>17g</v>
      </c>
      <c r="C33" s="3" t="str">
        <f t="shared" ref="C33:C37" si="25">SUM(IF(ISNUMBER( SEARCH("g",E33)), LEFT(E33, LEN(E33)-1)*1, "")*0.375)&amp;"g"</f>
        <v>25.5g</v>
      </c>
      <c r="D33" s="3" t="str">
        <f t="shared" ref="D33:D37" si="26">SUM(IF(ISNUMBER( SEARCH("g",E33)), LEFT(E33, LEN(E33)-1)*1, "")*0.5)&amp;"g"</f>
        <v>34g</v>
      </c>
      <c r="E33" s="6" t="s">
        <v>179</v>
      </c>
      <c r="F33" s="3" t="str">
        <f t="shared" ref="F33:F37" si="27">SUM(IF(ISNUMBER( SEARCH("g",E33)), LEFT(E33, LEN(E33)-1)*1, "")*2)&amp;"g"</f>
        <v>136g</v>
      </c>
      <c r="H33" s="6" t="str">
        <f>SUM(IF(ISNUMBER( SEARCH("g",E33)), LEFT(E33, LEN(E33)-1)*1, "")+(SUM(IF(ISNUMBER( SEARCH("g",Dairy!D80)), LEFT(Dairy!D80, LEN(Dairy!D80)-1)*1, ""))))&amp;"g"</f>
        <v>81g</v>
      </c>
      <c r="I33" s="3" t="str">
        <f>SUM(IF(ISNUMBER( SEARCH("g",F33)), LEFT(F33, LEN(F33)-1)*1, "")+(SUM(IF(ISNUMBER( SEARCH("g",Dairy!F80)), LEFT(Dairy!F80, LEN(Dairy!F80)-1)*1, ""))))&amp;"g"</f>
        <v>162g</v>
      </c>
    </row>
    <row r="34" spans="1:9" hidden="1" outlineLevel="1">
      <c r="A34" s="2" t="s">
        <v>15</v>
      </c>
      <c r="B34" s="3" t="str">
        <f t="shared" si="24"/>
        <v>1g</v>
      </c>
      <c r="C34" s="3" t="str">
        <f t="shared" si="25"/>
        <v>1.5g</v>
      </c>
      <c r="D34" s="3" t="str">
        <f t="shared" si="26"/>
        <v>2g</v>
      </c>
      <c r="E34" s="6" t="s">
        <v>37</v>
      </c>
      <c r="F34" s="3" t="str">
        <f t="shared" si="27"/>
        <v>8g</v>
      </c>
      <c r="H34" s="6" t="str">
        <f>SUM(IF(ISNUMBER( SEARCH("g",E34)), LEFT(E34, LEN(E34)-1)*1, "")+(SUM(IF(ISNUMBER( SEARCH("g",Dairy!D81)), LEFT(Dairy!D81, LEN(Dairy!D81)-1)*1, ""))))&amp;"g"</f>
        <v>4g</v>
      </c>
      <c r="I34" s="3" t="str">
        <f>SUM(IF(ISNUMBER( SEARCH("g",F34)), LEFT(F34, LEN(F34)-1)*1, "")+(SUM(IF(ISNUMBER( SEARCH("g",Dairy!F81)), LEFT(Dairy!F81, LEN(Dairy!F81)-1)*1, ""))))&amp;"g"</f>
        <v>8g</v>
      </c>
    </row>
    <row r="35" spans="1:9" hidden="1" outlineLevel="1">
      <c r="A35" s="2" t="s">
        <v>17</v>
      </c>
      <c r="B35" s="3" t="str">
        <f t="shared" si="24"/>
        <v>5.5g</v>
      </c>
      <c r="C35" s="3" t="str">
        <f t="shared" si="25"/>
        <v>8.25g</v>
      </c>
      <c r="D35" s="3" t="str">
        <f t="shared" si="26"/>
        <v>11g</v>
      </c>
      <c r="E35" s="6" t="s">
        <v>105</v>
      </c>
      <c r="F35" s="3" t="str">
        <f t="shared" si="27"/>
        <v>44g</v>
      </c>
      <c r="H35" s="6" t="str">
        <f>SUM(IF(ISNUMBER( SEARCH("g",E35)), LEFT(E35, LEN(E35)-1)*1, "")+(SUM(IF(ISNUMBER( SEARCH("g",Dairy!D82)), LEFT(Dairy!D82, LEN(Dairy!D82)-1)*1, ""))))&amp;"g"</f>
        <v>34g</v>
      </c>
      <c r="I35" s="3" t="str">
        <f>SUM(IF(ISNUMBER( SEARCH("g",F35)), LEFT(F35, LEN(F35)-1)*1, "")+(SUM(IF(ISNUMBER( SEARCH("g",Dairy!F82)), LEFT(Dairy!F82, LEN(Dairy!F82)-1)*1, ""))))&amp;"g"</f>
        <v>68g</v>
      </c>
    </row>
    <row r="36" spans="1:9" hidden="1" outlineLevel="1">
      <c r="A36" s="2" t="s">
        <v>27</v>
      </c>
      <c r="B36" s="3" t="str">
        <f t="shared" si="24"/>
        <v>4.5g</v>
      </c>
      <c r="C36" s="3" t="str">
        <f t="shared" si="25"/>
        <v>6.75g</v>
      </c>
      <c r="D36" s="3" t="str">
        <f t="shared" si="26"/>
        <v>9g</v>
      </c>
      <c r="E36" s="6" t="s">
        <v>43</v>
      </c>
      <c r="F36" s="3" t="str">
        <f t="shared" si="27"/>
        <v>36g</v>
      </c>
      <c r="H36" s="6" t="str">
        <f>SUM(IF(ISNUMBER( SEARCH("g",E36)), LEFT(E36, LEN(E36)-1)*1, "")+(SUM(IF(ISNUMBER( SEARCH("g",Dairy!D83)), LEFT(Dairy!D83, LEN(Dairy!D83)-1)*1, ""))))&amp;"g"</f>
        <v>18g</v>
      </c>
      <c r="I36" s="3" t="str">
        <f>SUM(IF(ISNUMBER( SEARCH("g",F36)), LEFT(F36, LEN(F36)-1)*1, "")+(SUM(IF(ISNUMBER( SEARCH("g",Dairy!F83)), LEFT(Dairy!F83, LEN(Dairy!F83)-1)*1, ""))))&amp;"g"</f>
        <v>36g</v>
      </c>
    </row>
    <row r="37" spans="1:9" hidden="1" outlineLevel="1">
      <c r="A37" s="2" t="s">
        <v>19</v>
      </c>
      <c r="B37" s="3" t="str">
        <f t="shared" si="24"/>
        <v>1.5g</v>
      </c>
      <c r="C37" s="3" t="str">
        <f t="shared" si="25"/>
        <v>2.25g</v>
      </c>
      <c r="D37" s="3" t="str">
        <f t="shared" si="26"/>
        <v>3g</v>
      </c>
      <c r="E37" s="6" t="s">
        <v>56</v>
      </c>
      <c r="F37" s="3" t="str">
        <f t="shared" si="27"/>
        <v>12g</v>
      </c>
      <c r="H37" s="6" t="str">
        <f>SUM(IF(ISNUMBER( SEARCH("g",E37)), LEFT(E37, LEN(E37)-1)*1, "")+(SUM(IF(ISNUMBER( SEARCH("g",Dairy!D84)), LEFT(Dairy!D84, LEN(Dairy!D84)-1)*1, ""))))&amp;"g"</f>
        <v>15g</v>
      </c>
      <c r="I37" s="3" t="str">
        <f>SUM(IF(ISNUMBER( SEARCH("g",F37)), LEFT(F37, LEN(F37)-1)*1, "")+(SUM(IF(ISNUMBER( SEARCH("g",Dairy!F84)), LEFT(Dairy!F84, LEN(Dairy!F84)-1)*1, ""))))&amp;"g"</f>
        <v>30g</v>
      </c>
    </row>
    <row r="38" spans="1:9" collapsed="1">
      <c r="A38" s="26" t="s">
        <v>180</v>
      </c>
      <c r="B38" s="26"/>
      <c r="C38" s="6"/>
      <c r="E38"/>
      <c r="F38"/>
    </row>
    <row r="39" spans="1:9" hidden="1" outlineLevel="1">
      <c r="A39" s="2" t="s">
        <v>1</v>
      </c>
      <c r="B39" s="9" t="s">
        <v>170</v>
      </c>
      <c r="C39" s="9" t="s">
        <v>171</v>
      </c>
      <c r="D39" s="9" t="s">
        <v>162</v>
      </c>
      <c r="E39" s="9" t="s">
        <v>163</v>
      </c>
      <c r="F39" s="9" t="s">
        <v>164</v>
      </c>
      <c r="H39" s="14" t="s">
        <v>176</v>
      </c>
      <c r="I39" s="9" t="s">
        <v>177</v>
      </c>
    </row>
    <row r="40" spans="1:9" hidden="1" outlineLevel="1">
      <c r="A40" s="2" t="s">
        <v>4</v>
      </c>
      <c r="B40">
        <f>(E40/4)</f>
        <v>85</v>
      </c>
      <c r="C40">
        <f>(E40*0.375)</f>
        <v>127.5</v>
      </c>
      <c r="D40">
        <f>(E40*0.5)</f>
        <v>170</v>
      </c>
      <c r="E40" s="6">
        <v>340</v>
      </c>
      <c r="F40">
        <f>(E40*2)</f>
        <v>680</v>
      </c>
      <c r="H40" s="2">
        <f>E40+Dairy!D75</f>
        <v>500</v>
      </c>
      <c r="I40">
        <f>(F40+Dairy!F75)</f>
        <v>1000</v>
      </c>
    </row>
    <row r="41" spans="1:9" hidden="1" outlineLevel="1">
      <c r="A41" s="2" t="s">
        <v>5</v>
      </c>
      <c r="B41" s="3" t="str">
        <f>SUM(IF(ISNUMBER( SEARCH("g",E41)), LEFT(E41, LEN(E41)-1)*1, "")*0.25)&amp;"g"</f>
        <v>1.75g</v>
      </c>
      <c r="C41" s="3" t="str">
        <f t="shared" ref="C41:C42" si="28">SUM(IF(ISNUMBER( SEARCH("g",E41)), LEFT(E41, LEN(E41)-1)*1, "")*0.375)&amp;"g"</f>
        <v>2.625g</v>
      </c>
      <c r="D41" s="3" t="str">
        <f t="shared" ref="D41:D42" si="29">SUM(IF(ISNUMBER( SEARCH("g",E41)), LEFT(E41, LEN(E41)-1)*1, "")*0.5)&amp;"g"</f>
        <v>3.5g</v>
      </c>
      <c r="E41" s="6" t="s">
        <v>16</v>
      </c>
      <c r="F41" s="3" t="str">
        <f t="shared" ref="F41:F42" si="30">SUM(IF(ISNUMBER( SEARCH("g",E41)), LEFT(E41, LEN(E41)-1)*1, "")*2)&amp;"g"</f>
        <v>14g</v>
      </c>
      <c r="H41" s="3" t="str">
        <f>SUM(IF(ISNUMBER( SEARCH("g",E41)), LEFT(E41, LEN(E41)-1)*1, "")+(SUM(IF(ISNUMBER( SEARCH("g",Dairy!D76)), LEFT(Dairy!D76, LEN(Dairy!D76)-1)*1, ""))))&amp;"g"</f>
        <v>15g</v>
      </c>
      <c r="I41" s="3" t="str">
        <f>SUM(IF(ISNUMBER( SEARCH("g",F41)), LEFT(F41, LEN(F41)-1)*1, "")+(SUM(IF(ISNUMBER( SEARCH("g",Dairy!F76)), LEFT(Dairy!F76, LEN(Dairy!F76)-1)*1, ""))))&amp;"g"</f>
        <v>30g</v>
      </c>
    </row>
    <row r="42" spans="1:9" hidden="1" outlineLevel="1">
      <c r="A42" s="7" t="s">
        <v>7</v>
      </c>
      <c r="B42" s="3" t="str">
        <f>SUM(IF(ISNUMBER( SEARCH("g",E42)), LEFT(E42, LEN(E42)-1)*1, "")*0.25)&amp;"g"</f>
        <v>0.5g</v>
      </c>
      <c r="C42" s="3" t="str">
        <f t="shared" si="28"/>
        <v>0.75g</v>
      </c>
      <c r="D42" s="3" t="str">
        <f t="shared" si="29"/>
        <v>1g</v>
      </c>
      <c r="E42" s="6" t="s">
        <v>6</v>
      </c>
      <c r="F42" s="3" t="str">
        <f t="shared" si="30"/>
        <v>4g</v>
      </c>
      <c r="H42" s="3" t="str">
        <f>SUM(IF(ISNUMBER( SEARCH("g",E42)), LEFT(E42, LEN(E42)-1)*1, "")+(SUM(IF(ISNUMBER( SEARCH("g",Dairy!D77)), LEFT(Dairy!D77, LEN(Dairy!D77)-1)*1, ""))))&amp;"g"</f>
        <v>7g</v>
      </c>
      <c r="I42" s="3" t="str">
        <f>SUM(IF(ISNUMBER( SEARCH("g",F42)), LEFT(F42, LEN(F42)-1)*1, "")+(SUM(IF(ISNUMBER( SEARCH("g",Dairy!F77)), LEFT(Dairy!F77, LEN(Dairy!F77)-1)*1, ""))))&amp;"g"</f>
        <v>14g</v>
      </c>
    </row>
    <row r="43" spans="1:9" hidden="1" outlineLevel="1">
      <c r="A43" s="2" t="s">
        <v>9</v>
      </c>
      <c r="B43" s="3" t="str">
        <f t="shared" ref="B43:B44" si="31">SUM(IF(ISNUMBER( SEARCH("mg",E43)), LEFT(E43, LEN(E43)-2)*1, "")*0.25)&amp;"mg"</f>
        <v>0mg</v>
      </c>
      <c r="C43" s="3" t="str">
        <f t="shared" ref="C43:C44" si="32">SUM(IF(ISNUMBER( SEARCH("mg",E43)), LEFT(E43, LEN(E43)-2)*1, "")*0.375)&amp;"mg"</f>
        <v>0mg</v>
      </c>
      <c r="D43" s="3" t="str">
        <f t="shared" ref="D43:D44" si="33">SUM(IF(ISNUMBER( SEARCH("mg",E43)), LEFT(E43, LEN(E43)-2)*1, "")*0.5)&amp;"mg"</f>
        <v>0mg</v>
      </c>
      <c r="E43" s="6" t="s">
        <v>23</v>
      </c>
      <c r="F43" s="3" t="str">
        <f t="shared" ref="F43:F44" si="34">SUM(IF(ISNUMBER( SEARCH("mg",E43)), LEFT(E43, LEN(E43)-2)*1, "")*2)&amp;"mg"</f>
        <v>0mg</v>
      </c>
      <c r="H43" s="3" t="str">
        <f>SUM(IF(ISNUMBER( SEARCH("mg",E43)), LEFT(E43, LEN(E43)-2)*1, "")+(SUM(IF(ISNUMBER( SEARCH("mg",Dairy!D78)), LEFT(Dairy!D78, LEN(Dairy!D78)-2)*1, ""))))&amp;"mg"</f>
        <v>35mg</v>
      </c>
      <c r="I43" s="3" t="str">
        <f>SUM(IF(ISNUMBER( SEARCH("mg",F43)), LEFT(F43, LEN(F43)-2)*1, "")+(SUM(IF(ISNUMBER( SEARCH("mg",Dairy!F78)), LEFT(Dairy!F78, LEN(Dairy!F78)-2)*1, ""))))&amp;"mg"</f>
        <v>70mg</v>
      </c>
    </row>
    <row r="44" spans="1:9" hidden="1" outlineLevel="1">
      <c r="A44" s="2" t="s">
        <v>11</v>
      </c>
      <c r="B44" s="3" t="str">
        <f t="shared" si="31"/>
        <v>150mg</v>
      </c>
      <c r="C44" s="3" t="str">
        <f t="shared" si="32"/>
        <v>225mg</v>
      </c>
      <c r="D44" s="3" t="str">
        <f t="shared" si="33"/>
        <v>300mg</v>
      </c>
      <c r="E44" s="6" t="s">
        <v>181</v>
      </c>
      <c r="F44" s="3" t="str">
        <f t="shared" si="34"/>
        <v>1200mg</v>
      </c>
      <c r="H44" s="3" t="str">
        <f>SUM(IF(ISNUMBER( SEARCH("mg",E44)), LEFT(E44, LEN(E44)-2)*1, "")+(SUM(IF(ISNUMBER( SEARCH("mg",Dairy!D79)), LEFT(Dairy!D79, LEN(Dairy!D79)-2)*1, ""))))&amp;"mg"</f>
        <v>730mg</v>
      </c>
      <c r="I44" s="3" t="str">
        <f>SUM(IF(ISNUMBER( SEARCH("mg",F44)), LEFT(F44, LEN(F44)-2)*1, "")+(SUM(IF(ISNUMBER( SEARCH("mg",Dairy!F79)), LEFT(Dairy!F79, LEN(Dairy!F79)-2)*1, ""))))&amp;"mg"</f>
        <v>1460mg</v>
      </c>
    </row>
    <row r="45" spans="1:9" hidden="1" outlineLevel="1">
      <c r="A45" s="2" t="s">
        <v>13</v>
      </c>
      <c r="B45" s="3" t="str">
        <f t="shared" ref="B45:B49" si="35">SUM(IF(ISNUMBER( SEARCH("g",E45)), LEFT(E45, LEN(E45)-1)*1, "")*0.25)&amp;"g"</f>
        <v>16g</v>
      </c>
      <c r="C45" s="3" t="str">
        <f t="shared" ref="C45:C49" si="36">SUM(IF(ISNUMBER( SEARCH("g",E45)), LEFT(E45, LEN(E45)-1)*1, "")*0.375)&amp;"g"</f>
        <v>24g</v>
      </c>
      <c r="D45" s="3" t="str">
        <f t="shared" ref="D45:D49" si="37">SUM(IF(ISNUMBER( SEARCH("g",E45)), LEFT(E45, LEN(E45)-1)*1, "")*0.5)&amp;"g"</f>
        <v>32g</v>
      </c>
      <c r="E45" s="6" t="s">
        <v>182</v>
      </c>
      <c r="F45" s="3" t="str">
        <f t="shared" ref="F45:F49" si="38">SUM(IF(ISNUMBER( SEARCH("g",E45)), LEFT(E45, LEN(E45)-1)*1, "")*2)&amp;"g"</f>
        <v>128g</v>
      </c>
      <c r="H45" s="3" t="str">
        <f>SUM(IF(ISNUMBER( SEARCH("g",E45)), LEFT(E45, LEN(E45)-1)*1, "")+(SUM(IF(ISNUMBER( SEARCH("g",Dairy!D80)), LEFT(Dairy!D80, LEN(Dairy!D80)-1)*1, ""))))&amp;"g"</f>
        <v>77g</v>
      </c>
      <c r="I45" s="3" t="str">
        <f>SUM(IF(ISNUMBER( SEARCH("g",F45)), LEFT(F45, LEN(F45)-1)*1, "")+(SUM(IF(ISNUMBER( SEARCH("g",Dairy!F80)), LEFT(Dairy!F80, LEN(Dairy!F80)-1)*1, ""))))&amp;"g"</f>
        <v>154g</v>
      </c>
    </row>
    <row r="46" spans="1:9" hidden="1" outlineLevel="1">
      <c r="A46" s="2" t="s">
        <v>15</v>
      </c>
      <c r="B46" s="3" t="str">
        <f t="shared" si="35"/>
        <v>0.5g</v>
      </c>
      <c r="C46" s="3" t="str">
        <f t="shared" si="36"/>
        <v>0.75g</v>
      </c>
      <c r="D46" s="3" t="str">
        <f t="shared" si="37"/>
        <v>1g</v>
      </c>
      <c r="E46" s="6" t="s">
        <v>6</v>
      </c>
      <c r="F46" s="3" t="str">
        <f t="shared" si="38"/>
        <v>4g</v>
      </c>
      <c r="H46" s="3" t="str">
        <f>SUM(IF(ISNUMBER( SEARCH("g",E46)), LEFT(E46, LEN(E46)-1)*1, "")+(SUM(IF(ISNUMBER( SEARCH("g",Dairy!D81)), LEFT(Dairy!D81, LEN(Dairy!D81)-1)*1, ""))))&amp;"g"</f>
        <v>2g</v>
      </c>
      <c r="I46" s="3" t="str">
        <f>SUM(IF(ISNUMBER( SEARCH("g",F46)), LEFT(F46, LEN(F46)-1)*1, "")+(SUM(IF(ISNUMBER( SEARCH("g",Dairy!F81)), LEFT(Dairy!F81, LEN(Dairy!F81)-1)*1, ""))))&amp;"g"</f>
        <v>4g</v>
      </c>
    </row>
    <row r="47" spans="1:9" hidden="1" outlineLevel="1">
      <c r="A47" s="2" t="s">
        <v>17</v>
      </c>
      <c r="B47" s="3" t="str">
        <f t="shared" si="35"/>
        <v>6.5g</v>
      </c>
      <c r="C47" s="3" t="str">
        <f t="shared" si="36"/>
        <v>9.75g</v>
      </c>
      <c r="D47" s="3" t="str">
        <f t="shared" si="37"/>
        <v>13g</v>
      </c>
      <c r="E47" s="6" t="s">
        <v>76</v>
      </c>
      <c r="F47" s="3" t="str">
        <f t="shared" si="38"/>
        <v>52g</v>
      </c>
      <c r="H47" s="3" t="str">
        <f>SUM(IF(ISNUMBER( SEARCH("g",E47)), LEFT(E47, LEN(E47)-1)*1, "")+(SUM(IF(ISNUMBER( SEARCH("g",Dairy!D82)), LEFT(Dairy!D82, LEN(Dairy!D82)-1)*1, ""))))&amp;"g"</f>
        <v>38g</v>
      </c>
      <c r="I47" s="3" t="str">
        <f>SUM(IF(ISNUMBER( SEARCH("g",F47)), LEFT(F47, LEN(F47)-1)*1, "")+(SUM(IF(ISNUMBER( SEARCH("g",Dairy!F82)), LEFT(Dairy!F82, LEN(Dairy!F82)-1)*1, ""))))&amp;"g"</f>
        <v>76g</v>
      </c>
    </row>
    <row r="48" spans="1:9" hidden="1" outlineLevel="1">
      <c r="A48" s="2" t="s">
        <v>27</v>
      </c>
      <c r="B48" s="3" t="str">
        <f t="shared" si="35"/>
        <v>6.5g</v>
      </c>
      <c r="C48" s="3" t="str">
        <f t="shared" si="36"/>
        <v>9.75g</v>
      </c>
      <c r="D48" s="3" t="str">
        <f t="shared" si="37"/>
        <v>13g</v>
      </c>
      <c r="E48" s="6" t="s">
        <v>76</v>
      </c>
      <c r="F48" s="3" t="str">
        <f t="shared" si="38"/>
        <v>52g</v>
      </c>
      <c r="H48" s="3" t="str">
        <f>SUM(IF(ISNUMBER( SEARCH("g",E48)), LEFT(E48, LEN(E48)-1)*1, "")+(SUM(IF(ISNUMBER( SEARCH("g",Dairy!D83)), LEFT(Dairy!D83, LEN(Dairy!D83)-1)*1, ""))))&amp;"g"</f>
        <v>26g</v>
      </c>
      <c r="I48" s="3" t="str">
        <f>SUM(IF(ISNUMBER( SEARCH("g",F48)), LEFT(F48, LEN(F48)-1)*1, "")+(SUM(IF(ISNUMBER( SEARCH("g",Dairy!F83)), LEFT(Dairy!F83, LEN(Dairy!F83)-1)*1, ""))))&amp;"g"</f>
        <v>52g</v>
      </c>
    </row>
    <row r="49" spans="1:9" hidden="1" outlineLevel="1">
      <c r="A49" s="2" t="s">
        <v>19</v>
      </c>
      <c r="B49" s="3" t="str">
        <f t="shared" si="35"/>
        <v>1.5g</v>
      </c>
      <c r="C49" s="3" t="str">
        <f t="shared" si="36"/>
        <v>2.25g</v>
      </c>
      <c r="D49" s="3" t="str">
        <f t="shared" si="37"/>
        <v>3g</v>
      </c>
      <c r="E49" s="6" t="s">
        <v>56</v>
      </c>
      <c r="F49" s="3" t="str">
        <f t="shared" si="38"/>
        <v>12g</v>
      </c>
      <c r="H49" s="3" t="str">
        <f>SUM(IF(ISNUMBER( SEARCH("g",E49)), LEFT(E49, LEN(E49)-1)*1, "")+(SUM(IF(ISNUMBER( SEARCH("g",Dairy!D84)), LEFT(Dairy!D84, LEN(Dairy!D84)-1)*1, ""))))&amp;"g"</f>
        <v>15g</v>
      </c>
      <c r="I49" s="3" t="str">
        <f>SUM(IF(ISNUMBER( SEARCH("g",F49)), LEFT(F49, LEN(F49)-1)*1, "")+(SUM(IF(ISNUMBER( SEARCH("g",Dairy!F84)), LEFT(Dairy!F84, LEN(Dairy!F84)-1)*1, ""))))&amp;"g"</f>
        <v>30g</v>
      </c>
    </row>
    <row r="50" spans="1:9" collapsed="1">
      <c r="A50" s="26" t="s">
        <v>183</v>
      </c>
      <c r="B50" s="26"/>
      <c r="C50" s="14"/>
      <c r="F50"/>
    </row>
    <row r="51" spans="1:9" hidden="1" outlineLevel="1">
      <c r="A51" s="2" t="s">
        <v>1</v>
      </c>
      <c r="B51" s="9" t="s">
        <v>170</v>
      </c>
      <c r="C51" s="9" t="s">
        <v>171</v>
      </c>
      <c r="D51" s="9" t="s">
        <v>184</v>
      </c>
      <c r="E51" s="9" t="s">
        <v>185</v>
      </c>
      <c r="F51"/>
      <c r="H51" s="9" t="s">
        <v>176</v>
      </c>
      <c r="I51" s="9" t="s">
        <v>177</v>
      </c>
    </row>
    <row r="52" spans="1:9" hidden="1" outlineLevel="1">
      <c r="A52" s="2" t="s">
        <v>4</v>
      </c>
      <c r="B52" s="3">
        <f>(D52*0.5)</f>
        <v>42.5</v>
      </c>
      <c r="C52">
        <f>(D52*0.75)</f>
        <v>63.75</v>
      </c>
      <c r="D52" s="3">
        <v>85</v>
      </c>
      <c r="E52">
        <f>(D52*2)</f>
        <v>170</v>
      </c>
      <c r="F52"/>
      <c r="H52" s="2">
        <f>D52+Dairy!D75</f>
        <v>245</v>
      </c>
      <c r="I52">
        <f>(E52+Dairy!F75)</f>
        <v>490</v>
      </c>
    </row>
    <row r="53" spans="1:9" hidden="1" outlineLevel="1">
      <c r="A53" s="2" t="s">
        <v>5</v>
      </c>
      <c r="B53" s="3" t="str">
        <f>SUM(IF(ISNUMBER( SEARCH("g",D53)), LEFT(D53, LEN(D53)-1)*1, "")*0.5)&amp;"g"</f>
        <v>0.25g</v>
      </c>
      <c r="C53" s="3" t="str">
        <f>SUM(IF(ISNUMBER( SEARCH("g",D53)), LEFT(D53, LEN(D53)-1)*1, "")*0.75)&amp;"g"</f>
        <v>0.375g</v>
      </c>
      <c r="D53" s="3" t="s">
        <v>8</v>
      </c>
      <c r="E53" s="3" t="str">
        <f t="shared" ref="C53:F54" si="39">SUM(IF(ISNUMBER( SEARCH("g",D53)), LEFT(D53, LEN(D53)-1)*1, "")*2)&amp;"g"</f>
        <v>1g</v>
      </c>
      <c r="F53"/>
      <c r="H53" s="6" t="str">
        <f>SUM(IF(ISNUMBER( SEARCH("g",D53)), LEFT(D53, LEN(D53)-1)*1, "")+(SUM(IF(ISNUMBER( SEARCH("g",Dairy!D76)), LEFT(Dairy!D76, LEN(Dairy!D76)-1)*1, ""))))&amp;"g"</f>
        <v>8.5g</v>
      </c>
      <c r="I53" s="3" t="str">
        <f>SUM(IF(ISNUMBER( SEARCH("g",E53)), LEFT(E53, LEN(E53)-1)*1, "")+(SUM(IF(ISNUMBER( SEARCH("g",Dairy!F76)), LEFT(Dairy!F76, LEN(Dairy!F76)-1)*1, ""))))&amp;"g"</f>
        <v>17g</v>
      </c>
    </row>
    <row r="54" spans="1:9" hidden="1" outlineLevel="1">
      <c r="A54" s="2" t="s">
        <v>7</v>
      </c>
      <c r="B54" s="3" t="str">
        <f>SUM(IF(ISNUMBER( SEARCH("g",D54)), LEFT(D54, LEN(D54)-1)*1, "")*0.5)&amp;"g"</f>
        <v>0g</v>
      </c>
      <c r="C54" s="3" t="str">
        <f>SUM(IF(ISNUMBER( SEARCH("g",D54)), LEFT(D54, LEN(D54)-1)*1, "")*0.75)&amp;"g"</f>
        <v>0g</v>
      </c>
      <c r="D54" s="3" t="s">
        <v>66</v>
      </c>
      <c r="E54" s="3" t="str">
        <f t="shared" si="39"/>
        <v>0g</v>
      </c>
      <c r="F54"/>
      <c r="H54" s="6" t="str">
        <f>SUM(IF(ISNUMBER( SEARCH("g",E54)), LEFT(E54, LEN(E54)-1)*1, "")+(SUM(IF(ISNUMBER( SEARCH("g",Dairy!D77)), LEFT(Dairy!D77, LEN(Dairy!D77)-1)*1, ""))))&amp;"g"</f>
        <v>5g</v>
      </c>
      <c r="I54" s="3" t="str">
        <f>SUM(IF(ISNUMBER( SEARCH("g",E54)), LEFT(E54, LEN(E54)-1)*1, "")+(SUM(IF(ISNUMBER( SEARCH("g",Dairy!F77)), LEFT(Dairy!F77, LEN(Dairy!F77)-1)*1, ""))))&amp;"g"</f>
        <v>10g</v>
      </c>
    </row>
    <row r="55" spans="1:9" hidden="1" outlineLevel="1">
      <c r="A55" s="2" t="s">
        <v>9</v>
      </c>
      <c r="B55" s="3" t="str">
        <f>SUM(IF(ISNUMBER( SEARCH("mg",D55)), LEFT(D55, LEN(D55)-2)*1, "")*0.5)&amp;"mg"</f>
        <v>0mg</v>
      </c>
      <c r="C55" s="3" t="str">
        <f>SUM(IF(ISNUMBER( SEARCH("mg",D55)), LEFT(D55, LEN(D55)-2)*1, "")*0.75)&amp;"mg"</f>
        <v>0mg</v>
      </c>
      <c r="D55" s="3" t="s">
        <v>23</v>
      </c>
      <c r="E55" s="3" t="str">
        <f t="shared" ref="E55:E56" si="40">SUM(IF(ISNUMBER( SEARCH("mg",D55)), LEFT(D55, LEN(D55)-2)*1, "")*2)&amp;"mg"</f>
        <v>0mg</v>
      </c>
      <c r="F55"/>
      <c r="H55" s="6" t="str">
        <f>SUM(IF(ISNUMBER( SEARCH("mg",D55)), LEFT(D55, LEN(D55)-2)*1, "")+(SUM(IF(ISNUMBER( SEARCH("mg",Dairy!D78)), LEFT(Dairy!D78, LEN(Dairy!D78)-2)*1, ""))))&amp;"mg"</f>
        <v>35mg</v>
      </c>
      <c r="I55" s="3" t="str">
        <f>SUM(IF(ISNUMBER( SEARCH("mg",E55)), LEFT(E55, LEN(E55)-2)*1, "")+(SUM(IF(ISNUMBER( SEARCH("mg",Dairy!F78)), LEFT(Dairy!F78, LEN(Dairy!F78)-2)*1, ""))))&amp;"mg"</f>
        <v>70mg</v>
      </c>
    </row>
    <row r="56" spans="1:9" hidden="1" outlineLevel="1">
      <c r="A56" s="2" t="s">
        <v>11</v>
      </c>
      <c r="B56" s="3" t="str">
        <f>SUM(IF(ISNUMBER( SEARCH("mg",D56)), LEFT(D56, LEN(D56)-2)*1, "")*0.5)&amp;"mg"</f>
        <v>0.5mg</v>
      </c>
      <c r="C56" s="3" t="str">
        <f>SUM(IF(ISNUMBER( SEARCH("mg",D56)), LEFT(D56, LEN(D56)-2)*1, "")*0.75)&amp;"mg"</f>
        <v>0.75mg</v>
      </c>
      <c r="D56" s="3" t="s">
        <v>186</v>
      </c>
      <c r="E56" s="3" t="str">
        <f t="shared" si="40"/>
        <v>2mg</v>
      </c>
      <c r="F56"/>
      <c r="H56" s="6" t="str">
        <f>SUM(IF(ISNUMBER( SEARCH("mg",D56)), LEFT(D56, LEN(D56)-2)*1, "")+(SUM(IF(ISNUMBER( SEARCH("mg",Dairy!D79)), LEFT(Dairy!D79, LEN(Dairy!D79)-2)*1, ""))))&amp;"mg"</f>
        <v>131mg</v>
      </c>
      <c r="I56" s="3" t="str">
        <f>SUM(IF(ISNUMBER( SEARCH("mg",E56)), LEFT(E56, LEN(E56)-2)*1, "")+(SUM(IF(ISNUMBER( SEARCH("mg",Dairy!F79)), LEFT(Dairy!F79, LEN(Dairy!F79)-2)*1, ""))))&amp;"mg"</f>
        <v>262mg</v>
      </c>
    </row>
    <row r="57" spans="1:9" hidden="1" outlineLevel="1">
      <c r="A57" s="2" t="s">
        <v>13</v>
      </c>
      <c r="B57" s="3" t="str">
        <f t="shared" ref="B57:B61" si="41">SUM(IF(ISNUMBER( SEARCH("g",D57)), LEFT(D57, LEN(D57)-1)*1, "")*0.5)&amp;"g"</f>
        <v>10.5g</v>
      </c>
      <c r="C57" s="3" t="str">
        <f t="shared" ref="C57:C61" si="42">SUM(IF(ISNUMBER( SEARCH("g",D57)), LEFT(D57, LEN(D57)-1)*1, "")*0.75)&amp;"g"</f>
        <v>15.75g</v>
      </c>
      <c r="D57" s="3" t="s">
        <v>92</v>
      </c>
      <c r="E57" s="3" t="str">
        <f t="shared" ref="E57:E61" si="43">SUM(IF(ISNUMBER( SEARCH("g",D57)), LEFT(D57, LEN(D57)-1)*1, "")*2)&amp;"g"</f>
        <v>42g</v>
      </c>
      <c r="F57"/>
      <c r="H57" s="6" t="str">
        <f>SUM(IF(ISNUMBER( SEARCH("g",E57)), LEFT(E57, LEN(E57)-1)*1, "")+(SUM(IF(ISNUMBER( SEARCH("g",Dairy!D80)), LEFT(Dairy!D80, LEN(Dairy!D80)-1)*1, ""))))&amp;"g"</f>
        <v>55g</v>
      </c>
      <c r="I57" s="3" t="str">
        <f>SUM(IF(ISNUMBER( SEARCH("g",E57)), LEFT(E57, LEN(E57)-1)*1, "")+(SUM(IF(ISNUMBER( SEARCH("g",Dairy!F80)), LEFT(Dairy!F80, LEN(Dairy!F80)-1)*1, ""))))&amp;"g"</f>
        <v>68g</v>
      </c>
    </row>
    <row r="58" spans="1:9" hidden="1" outlineLevel="1">
      <c r="A58" s="2" t="s">
        <v>15</v>
      </c>
      <c r="B58" s="3" t="str">
        <f t="shared" si="41"/>
        <v>1.8g</v>
      </c>
      <c r="C58" s="3" t="str">
        <f t="shared" si="42"/>
        <v>2.7g</v>
      </c>
      <c r="D58" s="3" t="s">
        <v>187</v>
      </c>
      <c r="E58" s="3" t="str">
        <f t="shared" si="43"/>
        <v>7.2g</v>
      </c>
      <c r="F58"/>
      <c r="H58" s="6" t="str">
        <f>SUM(IF(ISNUMBER( SEARCH("g",E58)), LEFT(E58, LEN(E58)-1)*1, "")+(SUM(IF(ISNUMBER( SEARCH("g",Dairy!D81)), LEFT(Dairy!D81, LEN(Dairy!D81)-1)*1, ""))))&amp;"g"</f>
        <v>7.2g</v>
      </c>
      <c r="I58" s="3" t="str">
        <f>SUM(IF(ISNUMBER( SEARCH("g",E58)), LEFT(E58, LEN(E58)-1)*1, "")+(SUM(IF(ISNUMBER( SEARCH("g",Dairy!F81)), LEFT(Dairy!F81, LEN(Dairy!F81)-1)*1, ""))))&amp;"g"</f>
        <v>7.2g</v>
      </c>
    </row>
    <row r="59" spans="1:9" hidden="1" outlineLevel="1">
      <c r="A59" s="2" t="s">
        <v>17</v>
      </c>
      <c r="B59" s="3" t="str">
        <f t="shared" si="41"/>
        <v>7.5g</v>
      </c>
      <c r="C59" s="3" t="str">
        <f t="shared" si="42"/>
        <v>11.25g</v>
      </c>
      <c r="D59" s="3" t="s">
        <v>79</v>
      </c>
      <c r="E59" s="3" t="str">
        <f t="shared" si="43"/>
        <v>30g</v>
      </c>
      <c r="F59"/>
      <c r="H59" s="6" t="str">
        <f>SUM(IF(ISNUMBER( SEARCH("g",E59)), LEFT(E59, LEN(E59)-1)*1, "")+(SUM(IF(ISNUMBER( SEARCH("g",Dairy!D82)), LEFT(Dairy!D82, LEN(Dairy!D82)-1)*1, ""))))&amp;"g"</f>
        <v>42g</v>
      </c>
      <c r="I59" s="3" t="str">
        <f>SUM(IF(ISNUMBER( SEARCH("g",E59)), LEFT(E59, LEN(E59)-1)*1, "")+(SUM(IF(ISNUMBER( SEARCH("g",Dairy!F82)), LEFT(Dairy!F82, LEN(Dairy!F82)-1)*1, ""))))&amp;"g"</f>
        <v>54g</v>
      </c>
    </row>
    <row r="60" spans="1:9" hidden="1" outlineLevel="1">
      <c r="A60" s="2" t="s">
        <v>27</v>
      </c>
      <c r="B60" s="3" t="str">
        <f t="shared" si="41"/>
        <v>0g</v>
      </c>
      <c r="C60" s="3" t="str">
        <f t="shared" si="42"/>
        <v>0g</v>
      </c>
      <c r="D60" s="3" t="s">
        <v>66</v>
      </c>
      <c r="E60" s="3" t="str">
        <f t="shared" si="43"/>
        <v>0g</v>
      </c>
      <c r="F60"/>
      <c r="H60" s="6" t="str">
        <f>SUM(IF(ISNUMBER( SEARCH("g",E60)), LEFT(E60, LEN(E60)-1)*1, "")+(SUM(IF(ISNUMBER( SEARCH("g",Dairy!D83)), LEFT(Dairy!D83, LEN(Dairy!D83)-1)*1, ""))))&amp;"g"</f>
        <v>0g</v>
      </c>
      <c r="I60" s="3" t="str">
        <f>SUM(IF(ISNUMBER( SEARCH("g",E60)), LEFT(E60, LEN(E60)-1)*1, "")+(SUM(IF(ISNUMBER( SEARCH("g",Dairy!F83)), LEFT(Dairy!F83, LEN(Dairy!F83)-1)*1, ""))))&amp;"g"</f>
        <v>0g</v>
      </c>
    </row>
    <row r="61" spans="1:9" hidden="1" outlineLevel="1">
      <c r="A61" s="2" t="s">
        <v>19</v>
      </c>
      <c r="B61" s="3" t="str">
        <f t="shared" si="41"/>
        <v>0.5g</v>
      </c>
      <c r="C61" s="3" t="str">
        <f t="shared" si="42"/>
        <v>0.75g</v>
      </c>
      <c r="D61" s="3" t="s">
        <v>14</v>
      </c>
      <c r="E61" s="3" t="str">
        <f t="shared" si="43"/>
        <v>2g</v>
      </c>
      <c r="F61"/>
      <c r="H61" s="6" t="str">
        <f>SUM(IF(ISNUMBER( SEARCH("g",E61)), LEFT(E61, LEN(E61)-1)*1, "")+(SUM(IF(ISNUMBER( SEARCH("g",Dairy!D84)), LEFT(Dairy!D84, LEN(Dairy!D84)-1)*1, ""))))&amp;"g"</f>
        <v>11g</v>
      </c>
      <c r="I61" s="3" t="str">
        <f>SUM(IF(ISNUMBER( SEARCH("g",E61)), LEFT(E61, LEN(E61)-1)*1, "")+(SUM(IF(ISNUMBER( SEARCH("g",Dairy!F84)), LEFT(Dairy!F84, LEN(Dairy!F84)-1)*1, ""))))&amp;"g"</f>
        <v>20g</v>
      </c>
    </row>
    <row r="62" spans="1:9" collapsed="1">
      <c r="A62" s="26" t="s">
        <v>188</v>
      </c>
      <c r="B62" s="26"/>
      <c r="F62"/>
    </row>
    <row r="63" spans="1:9" hidden="1" outlineLevel="1">
      <c r="A63" s="2" t="s">
        <v>1</v>
      </c>
      <c r="B63" s="9" t="s">
        <v>189</v>
      </c>
      <c r="C63" s="5" t="s">
        <v>190</v>
      </c>
      <c r="D63" s="5" t="s">
        <v>162</v>
      </c>
      <c r="E63" s="9" t="s">
        <v>191</v>
      </c>
      <c r="F63"/>
      <c r="H63" s="9" t="s">
        <v>192</v>
      </c>
      <c r="I63" s="9" t="s">
        <v>193</v>
      </c>
    </row>
    <row r="64" spans="1:9" hidden="1" outlineLevel="1">
      <c r="A64" s="2" t="s">
        <v>4</v>
      </c>
      <c r="B64" s="6">
        <f>ROUNDUP((C64/2),0)</f>
        <v>135</v>
      </c>
      <c r="C64" s="6">
        <v>270</v>
      </c>
      <c r="D64">
        <f>(C64*1.5)</f>
        <v>405</v>
      </c>
      <c r="E64">
        <f>(C64*2)</f>
        <v>540</v>
      </c>
      <c r="F64"/>
      <c r="H64" s="2">
        <f>(C64+Dairy!D75)</f>
        <v>430</v>
      </c>
      <c r="I64">
        <f>(E64+Dairy!F75)</f>
        <v>860</v>
      </c>
    </row>
    <row r="65" spans="1:9" hidden="1" outlineLevel="1">
      <c r="A65" s="2" t="s">
        <v>5</v>
      </c>
      <c r="B65" s="6" t="str">
        <f>SUM(IF(ISNUMBER( SEARCH("g",C65)), LEFT(C65, LEN(C65)-1)*1, "")*0.5)&amp;"g"</f>
        <v>3.5g</v>
      </c>
      <c r="C65" s="6" t="s">
        <v>16</v>
      </c>
      <c r="D65" s="3" t="str">
        <f>SUM(IF(ISNUMBER( SEARCH("g",C65)), LEFT(C65, LEN(C65)-1)*1, "")*1.5)&amp;"g"</f>
        <v>10.5g</v>
      </c>
      <c r="E65" s="3" t="str">
        <f t="shared" ref="E65" si="44">SUM(IF(ISNUMBER( SEARCH("g",D65)), LEFT(D65, LEN(D65)-1)*1, "")*2)&amp;"g"</f>
        <v>21g</v>
      </c>
      <c r="F65"/>
      <c r="H65" s="3" t="str">
        <f>SUM(IF(ISNUMBER( SEARCH("g",C65)), LEFT(C65, LEN(C65)-1)*1, "")+(SUM(IF(ISNUMBER( SEARCH("g",Dairy!D76)), LEFT(Dairy!D76, LEN(Dairy!D76)-1)*1, ""))))&amp;"g"</f>
        <v>15g</v>
      </c>
      <c r="I65" s="3" t="str">
        <f>SUM(IF(ISNUMBER( SEARCH("g",E65)), LEFT(E65, LEN(E65)-1)*1, "")+(SUM(IF(ISNUMBER( SEARCH("g",Dairy!F76)), LEFT(Dairy!F76, LEN(Dairy!F76)-1)*1, ""))))&amp;"g"</f>
        <v>37g</v>
      </c>
    </row>
    <row r="66" spans="1:9" hidden="1" outlineLevel="1">
      <c r="A66" s="2" t="s">
        <v>7</v>
      </c>
      <c r="B66" s="6" t="str">
        <f>SUM(IF(ISNUMBER( SEARCH("g",C66)), LEFT(C66, LEN(C66)-1)*1, "")*0.5)&amp;"g"</f>
        <v>0.5g</v>
      </c>
      <c r="C66" s="6" t="s">
        <v>14</v>
      </c>
      <c r="D66" s="3" t="str">
        <f>SUM(IF(ISNUMBER( SEARCH("g",C66)), LEFT(C66, LEN(C66)-1)*1, "")*1.5)&amp;"g"</f>
        <v>1.5g</v>
      </c>
      <c r="E66" s="3" t="str">
        <f t="shared" ref="E66" si="45">SUM(IF(ISNUMBER( SEARCH("g",D66)), LEFT(D66, LEN(D66)-1)*1, "")*2)&amp;"g"</f>
        <v>3g</v>
      </c>
      <c r="F66"/>
      <c r="H66" s="3" t="str">
        <f>SUM(IF(ISNUMBER( SEARCH("g",C66)), LEFT(C66, LEN(C66)-1)*1, "")+(SUM(IF(ISNUMBER( SEARCH("g",Dairy!D77)), LEFT(Dairy!D77, LEN(Dairy!D77)-1)*1, ""))))&amp;"g"</f>
        <v>6g</v>
      </c>
      <c r="I66" s="3" t="str">
        <f>SUM(IF(ISNUMBER( SEARCH("g",E66)), LEFT(E66, LEN(E66)-1)*1, "")+(SUM(IF(ISNUMBER( SEARCH("g",Dairy!F77)), LEFT(Dairy!F77, LEN(Dairy!F77)-1)*1, ""))))&amp;"g"</f>
        <v>13g</v>
      </c>
    </row>
    <row r="67" spans="1:9" hidden="1" outlineLevel="1">
      <c r="A67" s="2" t="s">
        <v>9</v>
      </c>
      <c r="B67" s="6" t="str">
        <f>SUM(IF(ISNUMBER( SEARCH("mg",C67)), LEFT(C67, LEN(C67)-2)*1, "")*0.5)&amp;"mg"</f>
        <v>0mg</v>
      </c>
      <c r="C67" s="6" t="s">
        <v>23</v>
      </c>
      <c r="D67" s="3" t="str">
        <f>SUM(IF(ISNUMBER( SEARCH("mg",C67)), LEFT(C67, LEN(C67)-2)*1, "")*1.5)&amp;"mg"</f>
        <v>0mg</v>
      </c>
      <c r="E67" s="3" t="str">
        <f t="shared" ref="E67:E68" si="46">SUM(IF(ISNUMBER( SEARCH("mg",D67)), LEFT(D67, LEN(D67)-2)*1, "")*2)&amp;"mg"</f>
        <v>0mg</v>
      </c>
      <c r="F67"/>
      <c r="H67" s="3" t="str">
        <f>SUM(IF(ISNUMBER( SEARCH("mg",C67)), LEFT(C67, LEN(C67)-2)*1, "")+(SUM(IF(ISNUMBER( SEARCH("mg",Dairy!D78)), LEFT(Dairy!D78, LEN(Dairy!D78)-2)*1, ""))))&amp;"mg"</f>
        <v>35mg</v>
      </c>
      <c r="I67" s="3" t="str">
        <f>SUM(IF(ISNUMBER( SEARCH("mg",E67)), LEFT(E67, LEN(E67)-2)*1, "")+(SUM(IF(ISNUMBER( SEARCH("mg",Dairy!F78)), LEFT(Dairy!F78, LEN(Dairy!F78)-2)*1, ""))))&amp;"mg"</f>
        <v>70mg</v>
      </c>
    </row>
    <row r="68" spans="1:9" hidden="1" outlineLevel="1">
      <c r="A68" s="2" t="s">
        <v>11</v>
      </c>
      <c r="B68" s="6" t="str">
        <f>SUM(IF(ISNUMBER( SEARCH("mg",C68)), LEFT(C68, LEN(C68)-2)*1, "")*0.5)&amp;"mg"</f>
        <v>17.5mg</v>
      </c>
      <c r="C68" s="6" t="s">
        <v>194</v>
      </c>
      <c r="D68" s="3" t="str">
        <f>SUM(IF(ISNUMBER( SEARCH("mg",C68)), LEFT(C68, LEN(C68)-2)*1, "")*1.5)&amp;"mg"</f>
        <v>52.5mg</v>
      </c>
      <c r="E68" s="3" t="str">
        <f t="shared" si="46"/>
        <v>105mg</v>
      </c>
      <c r="F68"/>
      <c r="H68" s="3" t="str">
        <f>SUM(IF(ISNUMBER( SEARCH("mg",C68)), LEFT(C68, LEN(C68)-2)*1, "")+(SUM(IF(ISNUMBER( SEARCH("mg",Dairy!D79)), LEFT(Dairy!D79, LEN(Dairy!D79)-2)*1, ""))))&amp;"mg"</f>
        <v>165mg</v>
      </c>
      <c r="I68" s="3" t="str">
        <f>SUM(IF(ISNUMBER( SEARCH("mg",E68)), LEFT(E68, LEN(E68)-2)*1, "")+(SUM(IF(ISNUMBER( SEARCH("mg",Dairy!F79)), LEFT(Dairy!F79, LEN(Dairy!F79)-2)*1, ""))))&amp;"mg"</f>
        <v>365mg</v>
      </c>
    </row>
    <row r="69" spans="1:9" hidden="1" outlineLevel="1">
      <c r="A69" s="2" t="s">
        <v>13</v>
      </c>
      <c r="B69" s="6" t="str">
        <f>SUM(IF(ISNUMBER( SEARCH("g",C69)), LEFT(C69, LEN(C69)-1)*1, "")*0.5)&amp;"g"</f>
        <v>25.5g</v>
      </c>
      <c r="C69" s="6" t="s">
        <v>195</v>
      </c>
      <c r="D69" s="3" t="str">
        <f t="shared" ref="D69:D73" si="47">SUM(IF(ISNUMBER( SEARCH("g",C69)), LEFT(C69, LEN(C69)-1)*1, "")*1.5)&amp;"g"</f>
        <v>76.5g</v>
      </c>
      <c r="E69" s="3" t="str">
        <f t="shared" ref="E69" si="48">SUM(IF(ISNUMBER( SEARCH("g",D69)), LEFT(D69, LEN(D69)-1)*1, "")*2)&amp;"g"</f>
        <v>153g</v>
      </c>
      <c r="F69"/>
      <c r="H69" s="3" t="str">
        <f>SUM(IF(ISNUMBER( SEARCH("g",C69)), LEFT(C69, LEN(C69)-1)*1, "")+(SUM(IF(ISNUMBER( SEARCH("g",Dairy!D80)), LEFT(Dairy!D80, LEN(Dairy!D80)-1)*1, ""))))&amp;"g"</f>
        <v>64g</v>
      </c>
      <c r="I69" s="3" t="str">
        <f>SUM(IF(ISNUMBER( SEARCH("g",E69)), LEFT(E69, LEN(E69)-1)*1, "")+(SUM(IF(ISNUMBER( SEARCH("g",Dairy!F80)), LEFT(Dairy!F80, LEN(Dairy!F80)-1)*1, ""))))&amp;"g"</f>
        <v>179g</v>
      </c>
    </row>
    <row r="70" spans="1:9" hidden="1" outlineLevel="1">
      <c r="A70" s="2" t="s">
        <v>15</v>
      </c>
      <c r="B70" s="6" t="str">
        <f t="shared" ref="B70:B73" si="49">SUM(IF(ISNUMBER( SEARCH("g",C70)), LEFT(C70, LEN(C70)-1)*1, "")*0.5)&amp;"g"</f>
        <v>3.5g</v>
      </c>
      <c r="C70" s="6" t="s">
        <v>16</v>
      </c>
      <c r="D70" s="3" t="str">
        <f t="shared" si="47"/>
        <v>10.5g</v>
      </c>
      <c r="E70" s="3" t="str">
        <f t="shared" ref="E70" si="50">SUM(IF(ISNUMBER( SEARCH("g",D70)), LEFT(D70, LEN(D70)-1)*1, "")*2)&amp;"g"</f>
        <v>21g</v>
      </c>
      <c r="F70"/>
      <c r="H70" s="3" t="str">
        <f>SUM(IF(ISNUMBER( SEARCH("g",C70)), LEFT(C70, LEN(C70)-1)*1, "")+(SUM(IF(ISNUMBER( SEARCH("g",Dairy!D81)), LEFT(Dairy!D81, LEN(Dairy!D81)-1)*1, ""))))&amp;"g"</f>
        <v>7g</v>
      </c>
      <c r="I70" s="3" t="str">
        <f>SUM(IF(ISNUMBER( SEARCH("g",E70)), LEFT(E70, LEN(E70)-1)*1, "")+(SUM(IF(ISNUMBER( SEARCH("g",Dairy!F81)), LEFT(Dairy!F81, LEN(Dairy!F81)-1)*1, ""))))&amp;"g"</f>
        <v>21g</v>
      </c>
    </row>
    <row r="71" spans="1:9" hidden="1" outlineLevel="1">
      <c r="A71" s="2" t="s">
        <v>17</v>
      </c>
      <c r="B71" s="6" t="str">
        <f t="shared" si="49"/>
        <v>8g</v>
      </c>
      <c r="C71" s="6" t="s">
        <v>65</v>
      </c>
      <c r="D71" s="3" t="str">
        <f t="shared" si="47"/>
        <v>24g</v>
      </c>
      <c r="E71" s="3" t="str">
        <f t="shared" ref="E71" si="51">SUM(IF(ISNUMBER( SEARCH("g",D71)), LEFT(D71, LEN(D71)-1)*1, "")*2)&amp;"g"</f>
        <v>48g</v>
      </c>
      <c r="F71"/>
      <c r="H71" s="3" t="str">
        <f>SUM(IF(ISNUMBER( SEARCH("g",C71)), LEFT(C71, LEN(C71)-1)*1, "")+(SUM(IF(ISNUMBER( SEARCH("g",Dairy!D82)), LEFT(Dairy!D82, LEN(Dairy!D82)-1)*1, ""))))&amp;"g"</f>
        <v>28g</v>
      </c>
      <c r="I71" s="3" t="str">
        <f>SUM(IF(ISNUMBER( SEARCH("g",E71)), LEFT(E71, LEN(E71)-1)*1, "")+(SUM(IF(ISNUMBER( SEARCH("g",Dairy!F82)), LEFT(Dairy!F82, LEN(Dairy!F82)-1)*1, ""))))&amp;"g"</f>
        <v>72g</v>
      </c>
    </row>
    <row r="72" spans="1:9" hidden="1" outlineLevel="1">
      <c r="A72" s="2" t="s">
        <v>27</v>
      </c>
      <c r="B72" s="6" t="str">
        <f t="shared" si="49"/>
        <v>4.5g</v>
      </c>
      <c r="C72" s="6" t="s">
        <v>44</v>
      </c>
      <c r="D72" s="3" t="str">
        <f t="shared" si="47"/>
        <v>13.5g</v>
      </c>
      <c r="E72" s="3" t="str">
        <f t="shared" ref="E72" si="52">SUM(IF(ISNUMBER( SEARCH("g",D72)), LEFT(D72, LEN(D72)-1)*1, "")*2)&amp;"g"</f>
        <v>27g</v>
      </c>
      <c r="F72"/>
      <c r="H72" s="3" t="str">
        <f>SUM(IF(ISNUMBER( SEARCH("g",C72)), LEFT(C72, LEN(C72)-1)*1, "")+(SUM(IF(ISNUMBER( SEARCH("g",Dairy!D83)), LEFT(Dairy!D83, LEN(Dairy!D83)-1)*1, ""))))&amp;"g"</f>
        <v>9g</v>
      </c>
      <c r="I72" s="3" t="str">
        <f>SUM(IF(ISNUMBER( SEARCH("g",E72)), LEFT(E72, LEN(E72)-1)*1, "")+(SUM(IF(ISNUMBER( SEARCH("g",Dairy!F83)), LEFT(Dairy!F83, LEN(Dairy!F83)-1)*1, ""))))&amp;"g"</f>
        <v>27g</v>
      </c>
    </row>
    <row r="73" spans="1:9" hidden="1" outlineLevel="1">
      <c r="A73" s="2" t="s">
        <v>19</v>
      </c>
      <c r="B73" s="6" t="str">
        <f t="shared" si="49"/>
        <v>3.5g</v>
      </c>
      <c r="C73" s="6" t="s">
        <v>16</v>
      </c>
      <c r="D73" s="3" t="str">
        <f t="shared" si="47"/>
        <v>10.5g</v>
      </c>
      <c r="E73" s="3" t="str">
        <f t="shared" ref="E73" si="53">SUM(IF(ISNUMBER( SEARCH("g",D73)), LEFT(D73, LEN(D73)-1)*1, "")*2)&amp;"g"</f>
        <v>21g</v>
      </c>
      <c r="F73"/>
      <c r="H73" s="3" t="str">
        <f>SUM(IF(ISNUMBER( SEARCH("g",C73)), LEFT(C73, LEN(C73)-1)*1, "")+(SUM(IF(ISNUMBER( SEARCH("g",Dairy!D84)), LEFT(Dairy!D84, LEN(Dairy!D84)-1)*1, ""))))&amp;"g"</f>
        <v>16g</v>
      </c>
      <c r="I73" s="3" t="str">
        <f>SUM(IF(ISNUMBER( SEARCH("g",E73)), LEFT(E73, LEN(E73)-1)*1, "")+(SUM(IF(ISNUMBER( SEARCH("g",Dairy!F84)), LEFT(Dairy!F84, LEN(Dairy!F84)-1)*1, ""))))&amp;"g"</f>
        <v>39g</v>
      </c>
    </row>
    <row r="74" spans="1:9" collapsed="1">
      <c r="A74" s="26" t="s">
        <v>196</v>
      </c>
      <c r="B74" s="26"/>
      <c r="E74"/>
      <c r="F74"/>
      <c r="I74" s="6"/>
    </row>
    <row r="75" spans="1:9" hidden="1" outlineLevel="1">
      <c r="A75" s="2" t="s">
        <v>1</v>
      </c>
      <c r="B75" s="8" t="s">
        <v>170</v>
      </c>
      <c r="C75" s="9" t="s">
        <v>162</v>
      </c>
      <c r="D75" s="9" t="s">
        <v>163</v>
      </c>
      <c r="E75" s="9" t="s">
        <v>197</v>
      </c>
      <c r="H75" s="9" t="s">
        <v>176</v>
      </c>
      <c r="I75" s="9" t="s">
        <v>177</v>
      </c>
    </row>
    <row r="76" spans="1:9" hidden="1" outlineLevel="1">
      <c r="A76" s="2" t="s">
        <v>4</v>
      </c>
      <c r="B76">
        <f>(D76*0.25)</f>
        <v>65</v>
      </c>
      <c r="C76">
        <f>(D76*0.5)</f>
        <v>130</v>
      </c>
      <c r="D76" s="6">
        <v>260</v>
      </c>
      <c r="E76">
        <f>(D76*2)</f>
        <v>520</v>
      </c>
      <c r="H76" s="6">
        <f>D76+Dairy!D75</f>
        <v>420</v>
      </c>
      <c r="I76"/>
    </row>
    <row r="77" spans="1:9" hidden="1" outlineLevel="1">
      <c r="A77" s="2" t="s">
        <v>5</v>
      </c>
      <c r="B77" s="3" t="str">
        <f>SUM(IF(ISNUMBER( SEARCH("g",D77)), LEFT(D77, LEN(D77)-1)*1, "")*0.25)&amp;"g"</f>
        <v>0g</v>
      </c>
      <c r="C77" s="3" t="str">
        <f t="shared" ref="C77:C78" si="54">SUM(IF(ISNUMBER( SEARCH("g",D77)), LEFT(D77, LEN(D77)-1)*1, "")*0.5)&amp;"g"</f>
        <v>0g</v>
      </c>
      <c r="D77" s="6" t="s">
        <v>66</v>
      </c>
      <c r="E77" s="3" t="str">
        <f t="shared" ref="E77:E78" si="55">SUM(IF(ISNUMBER( SEARCH("g",D77)), LEFT(D77, LEN(D77)-1)*1, "")*2)&amp;"g"</f>
        <v>0g</v>
      </c>
      <c r="H77" s="6" t="str">
        <f>SUM(IF(ISNUMBER( SEARCH("g",E77)), LEFT(E77, LEN(E77)-1)*1, "")+(SUM(IF(ISNUMBER( SEARCH("g",Dairy!D76)), LEFT(Dairy!D76, LEN(Dairy!D76)-1)*1, ""))))&amp;"g"</f>
        <v>8g</v>
      </c>
      <c r="I77"/>
    </row>
    <row r="78" spans="1:9" hidden="1" outlineLevel="1">
      <c r="A78" s="2" t="s">
        <v>7</v>
      </c>
      <c r="B78" s="3" t="str">
        <f>SUM(IF(ISNUMBER( SEARCH("g",D78)), LEFT(D78, LEN(D78)-1)*1, "")*0.25)&amp;"g"</f>
        <v>0g</v>
      </c>
      <c r="C78" s="3" t="str">
        <f t="shared" si="54"/>
        <v>0g</v>
      </c>
      <c r="D78" s="6" t="s">
        <v>66</v>
      </c>
      <c r="E78" s="3" t="str">
        <f t="shared" si="55"/>
        <v>0g</v>
      </c>
      <c r="H78" s="6" t="str">
        <f>SUM(IF(ISNUMBER( SEARCH("g",E78)), LEFT(E78, LEN(E78)-1)*1, "")+(SUM(IF(ISNUMBER( SEARCH("g",Dairy!D77)), LEFT(Dairy!D77, LEN(Dairy!D77)-1)*1, ""))))&amp;"g"</f>
        <v>5g</v>
      </c>
      <c r="I78"/>
    </row>
    <row r="79" spans="1:9" hidden="1" outlineLevel="1">
      <c r="A79" s="2" t="s">
        <v>9</v>
      </c>
      <c r="B79" s="3" t="str">
        <f>SUM(IF(ISNUMBER( SEARCH("mg",D79)), LEFT(D79, LEN(D79)-2)*1, "")*0.25)&amp;"mg"</f>
        <v>0mg</v>
      </c>
      <c r="C79" s="3" t="str">
        <f t="shared" ref="C79:C80" si="56">SUM(IF(ISNUMBER( SEARCH("mg",D79)), LEFT(D79, LEN(D79)-2)*1, "")*0.5)&amp;"mg"</f>
        <v>0mg</v>
      </c>
      <c r="D79" s="6" t="s">
        <v>23</v>
      </c>
      <c r="E79" s="3" t="str">
        <f t="shared" ref="E79:E80" si="57">SUM(IF(ISNUMBER( SEARCH("mg",D79)), LEFT(D79, LEN(D79)-2)*1, "")*2)&amp;"mg"</f>
        <v>0mg</v>
      </c>
      <c r="H79" s="6" t="str">
        <f>SUM(IF(ISNUMBER( SEARCH("mg",D79)), LEFT(D79, LEN(D79)-2)*1, "")+(SUM(IF(ISNUMBER( SEARCH("mg",Dairy!D78)), LEFT(Dairy!D78, LEN(Dairy!D78)-2)*1, ""))))&amp;"mg"</f>
        <v>35mg</v>
      </c>
      <c r="I79"/>
    </row>
    <row r="80" spans="1:9" hidden="1" outlineLevel="1">
      <c r="A80" s="2" t="s">
        <v>11</v>
      </c>
      <c r="B80" s="3" t="str">
        <f>SUM(IF(ISNUMBER( SEARCH("mg",D80)), LEFT(D80, LEN(D80)-2)*1, "")*0.25)&amp;"mg"</f>
        <v>95mg</v>
      </c>
      <c r="C80" s="3" t="str">
        <f t="shared" si="56"/>
        <v>190mg</v>
      </c>
      <c r="D80" s="6" t="s">
        <v>198</v>
      </c>
      <c r="E80" s="3" t="str">
        <f t="shared" si="57"/>
        <v>760mg</v>
      </c>
      <c r="H80" s="6" t="str">
        <f>SUM(IF(ISNUMBER( SEARCH("mg",D80)), LEFT(D80, LEN(D80)-2)*1, "")+(SUM(IF(ISNUMBER( SEARCH("mg",Dairy!D79)), LEFT(Dairy!D79, LEN(Dairy!D79)-2)*1, ""))))&amp;"mg"</f>
        <v>510mg</v>
      </c>
      <c r="I80"/>
    </row>
    <row r="81" spans="1:9" hidden="1" outlineLevel="1">
      <c r="A81" s="2" t="s">
        <v>13</v>
      </c>
      <c r="B81" s="3" t="str">
        <f>SUM(IF(ISNUMBER( SEARCH("g",D81)), LEFT(D81, LEN(D81)-1)*1, "")*0.25)&amp;"g"</f>
        <v>16.5g</v>
      </c>
      <c r="C81" s="3" t="str">
        <f t="shared" ref="C81:C85" si="58">SUM(IF(ISNUMBER( SEARCH("g",D81)), LEFT(D81, LEN(D81)-1)*1, "")*0.5)&amp;"g"</f>
        <v>33g</v>
      </c>
      <c r="D81" s="6" t="s">
        <v>199</v>
      </c>
      <c r="E81" s="3" t="str">
        <f t="shared" ref="E81:E85" si="59">SUM(IF(ISNUMBER( SEARCH("g",D81)), LEFT(D81, LEN(D81)-1)*1, "")*2)&amp;"g"</f>
        <v>132g</v>
      </c>
      <c r="H81" s="6" t="str">
        <f>SUM(IF(ISNUMBER( SEARCH("g",E81)), LEFT(E81, LEN(E81)-1)*1, "")+(SUM(IF(ISNUMBER( SEARCH("g",Dairy!D80)), LEFT(Dairy!D80, LEN(Dairy!D80)-1)*1, ""))))&amp;"g"</f>
        <v>145g</v>
      </c>
      <c r="I81"/>
    </row>
    <row r="82" spans="1:9" hidden="1" outlineLevel="1">
      <c r="A82" s="2" t="s">
        <v>15</v>
      </c>
      <c r="B82" s="3" t="str">
        <f>SUM(IF(ISNUMBER( SEARCH("g",D82)), LEFT(D82, LEN(D82)-1)*1, "")*0.25)&amp;"g"</f>
        <v>0.5g</v>
      </c>
      <c r="C82" s="3" t="str">
        <f t="shared" si="58"/>
        <v>1g</v>
      </c>
      <c r="D82" s="6" t="s">
        <v>6</v>
      </c>
      <c r="E82" s="3" t="str">
        <f t="shared" si="59"/>
        <v>4g</v>
      </c>
      <c r="H82" s="6" t="str">
        <f>SUM(IF(ISNUMBER( SEARCH("g",E82)), LEFT(E82, LEN(E82)-1)*1, "")+(SUM(IF(ISNUMBER( SEARCH("g",Dairy!D81)), LEFT(Dairy!D81, LEN(Dairy!D81)-1)*1, ""))))&amp;"g"</f>
        <v>4g</v>
      </c>
      <c r="I82"/>
    </row>
    <row r="83" spans="1:9" hidden="1" outlineLevel="1">
      <c r="A83" s="2" t="s">
        <v>17</v>
      </c>
      <c r="B83" s="3" t="str">
        <f>SUM(IF(ISNUMBER( SEARCH("g",D83)), LEFT(D83, LEN(D83)-1)*1, "")*0.25)&amp;"g"</f>
        <v>6g</v>
      </c>
      <c r="C83" s="3" t="str">
        <f t="shared" si="58"/>
        <v>12g</v>
      </c>
      <c r="D83" s="6" t="s">
        <v>73</v>
      </c>
      <c r="E83" s="3" t="str">
        <f t="shared" si="59"/>
        <v>48g</v>
      </c>
      <c r="H83" s="6" t="str">
        <f>SUM(IF(ISNUMBER( SEARCH("g",E83)), LEFT(E83, LEN(E83)-1)*1, "")+(SUM(IF(ISNUMBER( SEARCH("g",Dairy!D82)), LEFT(Dairy!D82, LEN(Dairy!D82)-1)*1, ""))))&amp;"g"</f>
        <v>60g</v>
      </c>
      <c r="I83"/>
    </row>
    <row r="84" spans="1:9" hidden="1" outlineLevel="1">
      <c r="A84" s="2" t="s">
        <v>27</v>
      </c>
      <c r="B84" s="3" t="str">
        <f>SUM(IF(ISNUMBER( SEARCH("g",D84)), LEFT(D84, LEN(D84)-1)*1, "")*0.25)&amp;"g"</f>
        <v>6g</v>
      </c>
      <c r="C84" s="3" t="str">
        <f t="shared" si="58"/>
        <v>12g</v>
      </c>
      <c r="D84" s="6" t="s">
        <v>73</v>
      </c>
      <c r="E84" s="3" t="str">
        <f t="shared" si="59"/>
        <v>48g</v>
      </c>
      <c r="H84" s="6" t="str">
        <f>SUM(IF(ISNUMBER( SEARCH("g",E84)), LEFT(E84, LEN(E84)-1)*1, "")+(SUM(IF(ISNUMBER( SEARCH("g",Dairy!D83)), LEFT(Dairy!D83, LEN(Dairy!D83)-1)*1, ""))))&amp;"g"</f>
        <v>48g</v>
      </c>
      <c r="I84"/>
    </row>
    <row r="85" spans="1:9" hidden="1" outlineLevel="1">
      <c r="A85" s="2" t="s">
        <v>19</v>
      </c>
      <c r="B85" s="3" t="str">
        <f>SUM(IF(ISNUMBER( SEARCH("g",D85)), LEFT(D85, LEN(D85)-1)*1, "")*0.25)&amp;"g"</f>
        <v>1g</v>
      </c>
      <c r="C85" s="3" t="str">
        <f t="shared" si="58"/>
        <v>2g</v>
      </c>
      <c r="D85" s="6" t="s">
        <v>37</v>
      </c>
      <c r="E85" s="3" t="str">
        <f t="shared" si="59"/>
        <v>8g</v>
      </c>
      <c r="H85" s="6" t="str">
        <f>SUM(IF(ISNUMBER( SEARCH("g",E85)), LEFT(E85, LEN(E85)-1)*1, "")+(SUM(IF(ISNUMBER( SEARCH("g",Dairy!D84)), LEFT(Dairy!D84, LEN(Dairy!D84)-1)*1, ""))))&amp;"g"</f>
        <v>17g</v>
      </c>
      <c r="I85"/>
    </row>
    <row r="86" spans="1:9" collapsed="1">
      <c r="A86" s="26" t="s">
        <v>200</v>
      </c>
      <c r="B86" s="26"/>
      <c r="C86" s="6"/>
      <c r="I86" s="6"/>
    </row>
    <row r="87" spans="1:9" hidden="1" outlineLevel="1">
      <c r="A87" s="2" t="s">
        <v>1</v>
      </c>
      <c r="B87" s="9" t="s">
        <v>170</v>
      </c>
      <c r="C87" s="9" t="s">
        <v>171</v>
      </c>
      <c r="D87" s="9" t="s">
        <v>162</v>
      </c>
      <c r="E87" s="9" t="s">
        <v>163</v>
      </c>
      <c r="F87" s="9" t="s">
        <v>164</v>
      </c>
      <c r="H87" s="14" t="s">
        <v>176</v>
      </c>
      <c r="I87" s="9" t="s">
        <v>177</v>
      </c>
    </row>
    <row r="88" spans="1:9" hidden="1" outlineLevel="1">
      <c r="A88" s="2" t="s">
        <v>4</v>
      </c>
      <c r="B88" s="3">
        <f>(E88*0.25)</f>
        <v>95</v>
      </c>
      <c r="C88" s="3">
        <f>(E88*0.375)</f>
        <v>142.5</v>
      </c>
      <c r="D88" s="3">
        <f>(E88*0.5)</f>
        <v>190</v>
      </c>
      <c r="E88" s="6">
        <v>380</v>
      </c>
      <c r="F88">
        <f>(E88*2)</f>
        <v>760</v>
      </c>
      <c r="H88" s="2">
        <f>E88+Dairy!D75</f>
        <v>540</v>
      </c>
      <c r="I88"/>
    </row>
    <row r="89" spans="1:9" hidden="1" outlineLevel="1">
      <c r="A89" s="2" t="s">
        <v>5</v>
      </c>
      <c r="B89" s="3" t="str">
        <f>SUM(IF(ISNUMBER( SEARCH("g",E89)), LEFT(E89, LEN(E89)-1)*1, "")*0.25)&amp;"g"</f>
        <v>0.5g</v>
      </c>
      <c r="C89" s="3" t="str">
        <f>SUM(IF(ISNUMBER( SEARCH("g",E89)), LEFT(E89, LEN(E89)-1)*1, "")*0.375)&amp;"g"</f>
        <v>0.75g</v>
      </c>
      <c r="D89" s="3" t="str">
        <f>SUM(IF(ISNUMBER( SEARCH("g",E89)), LEFT(E89, LEN(E89)-1)*1, "")*0.5)&amp;"g"</f>
        <v>1g</v>
      </c>
      <c r="E89" s="6" t="s">
        <v>6</v>
      </c>
      <c r="F89" s="3" t="str">
        <f t="shared" ref="F89:F90" si="60">SUM(IF(ISNUMBER( SEARCH("g",E89)), LEFT(E89, LEN(E89)-1)*1, "")*2)&amp;"g"</f>
        <v>4g</v>
      </c>
      <c r="H89" s="6" t="str">
        <f>SUM(IF(ISNUMBER( SEARCH("g",E89)), LEFT(E89, LEN(E89)-1)*1, "")+(SUM(IF(ISNUMBER( SEARCH("g",Dairy!D76)), LEFT(Dairy!D76, LEN(Dairy!D76)-1)*1, ""))))&amp;"g"</f>
        <v>10g</v>
      </c>
      <c r="I89"/>
    </row>
    <row r="90" spans="1:9" hidden="1" outlineLevel="1">
      <c r="A90" s="7" t="s">
        <v>7</v>
      </c>
      <c r="B90" s="3" t="str">
        <f>SUM(IF(ISNUMBER( SEARCH("g",E90)), LEFT(E90, LEN(E90)-1)*1, "")*0.25)&amp;"g"</f>
        <v>0g</v>
      </c>
      <c r="C90" s="3" t="str">
        <f>SUM(IF(ISNUMBER( SEARCH("g",E90)), LEFT(E90, LEN(E90)-1)*1, "")*0.375)&amp;"g"</f>
        <v>0g</v>
      </c>
      <c r="D90" s="3" t="str">
        <f>SUM(IF(ISNUMBER( SEARCH("g",E90)), LEFT(E90, LEN(E90)-1)*1, "")*0.5)&amp;"g"</f>
        <v>0g</v>
      </c>
      <c r="E90" s="6" t="s">
        <v>66</v>
      </c>
      <c r="F90" s="3" t="str">
        <f t="shared" si="60"/>
        <v>0g</v>
      </c>
      <c r="H90" s="6" t="str">
        <f>SUM(IF(ISNUMBER( SEARCH("g",E90)), LEFT(E90, LEN(E90)-1)*1, "")+(SUM(IF(ISNUMBER( SEARCH("g",Dairy!D77)), LEFT(Dairy!D77, LEN(Dairy!D77)-1)*1, ""))))&amp;"g"</f>
        <v>5g</v>
      </c>
      <c r="I90"/>
    </row>
    <row r="91" spans="1:9" hidden="1" outlineLevel="1">
      <c r="A91" s="2" t="s">
        <v>9</v>
      </c>
      <c r="B91" s="3" t="str">
        <f>SUM(IF(ISNUMBER( SEARCH("mg",E91)), LEFT(E91, LEN(E91)-2)*1, "")*0.5)&amp;"mg"</f>
        <v>0mg</v>
      </c>
      <c r="C91" s="3" t="str">
        <f>SUM(IF(ISNUMBER( SEARCH("mg",E91)), LEFT(E91, LEN(E91)-2)*1, "")*0.375)&amp;"mg"</f>
        <v>0mg</v>
      </c>
      <c r="D91" s="3" t="str">
        <f t="shared" ref="D91:D92" si="61">SUM(IF(ISNUMBER( SEARCH("mg",E91)), LEFT(E91, LEN(E91)-2)*1, "")*0.5)&amp;"mg"</f>
        <v>0mg</v>
      </c>
      <c r="E91" s="6" t="s">
        <v>23</v>
      </c>
      <c r="F91" s="3" t="str">
        <f t="shared" ref="F91:F92" si="62">SUM(IF(ISNUMBER( SEARCH("mg",E91)), LEFT(E91, LEN(E91)-2)*1, "")*2)&amp;"mg"</f>
        <v>0mg</v>
      </c>
      <c r="H91" s="6" t="str">
        <f>SUM(IF(ISNUMBER( SEARCH("mg",E91)), LEFT(E91, LEN(E91)-2)*1, "")+(SUM(IF(ISNUMBER( SEARCH("mg",Dairy!D78)), LEFT(Dairy!D78, LEN(Dairy!D78)-2)*1, ""))))&amp;"mg"</f>
        <v>35mg</v>
      </c>
      <c r="I91"/>
    </row>
    <row r="92" spans="1:9" hidden="1" outlineLevel="1">
      <c r="A92" s="2" t="s">
        <v>11</v>
      </c>
      <c r="B92" s="3" t="str">
        <f>SUM(IF(ISNUMBER( SEARCH("mg",E92)), LEFT(E92, LEN(E92)-2)*1, "")*0.5)&amp;"mg"</f>
        <v>200mg</v>
      </c>
      <c r="C92" s="3" t="str">
        <f t="shared" ref="C91:C92" si="63">SUM(IF(ISNUMBER( SEARCH("mg",E92)), LEFT(E92, LEN(E92)-2)*1, "")*0.375)&amp;"mg"</f>
        <v>150mg</v>
      </c>
      <c r="D92" s="3" t="str">
        <f t="shared" si="61"/>
        <v>200mg</v>
      </c>
      <c r="E92" s="6" t="s">
        <v>201</v>
      </c>
      <c r="F92" s="3" t="str">
        <f t="shared" si="62"/>
        <v>800mg</v>
      </c>
      <c r="H92" s="6" t="str">
        <f>SUM(IF(ISNUMBER( SEARCH("mg",E92)), LEFT(E92, LEN(E92)-2)*1, "")+(SUM(IF(ISNUMBER( SEARCH("mg",Dairy!D79)), LEFT(Dairy!D79, LEN(Dairy!D79)-2)*1, ""))))&amp;"mg"</f>
        <v>530mg</v>
      </c>
      <c r="I92"/>
    </row>
    <row r="93" spans="1:9" hidden="1" outlineLevel="1">
      <c r="A93" s="2" t="s">
        <v>13</v>
      </c>
      <c r="B93" s="3" t="str">
        <f t="shared" ref="B93:B97" si="64">SUM(IF(ISNUMBER( SEARCH("g",E93)), LEFT(E93, LEN(E93)-1)*1, "")*0.25)&amp;"g"</f>
        <v>23g</v>
      </c>
      <c r="C93" s="3" t="str">
        <f>SUM(IF(ISNUMBER(SEARCH("g",E93)),LEFT(E93,LEN(E93)-1)*1,"")*0.375)&amp;"g"</f>
        <v>34.5g</v>
      </c>
      <c r="D93" s="3" t="str">
        <f t="shared" ref="D93:D97" si="65">SUM(IF(ISNUMBER( SEARCH("g",E93)), LEFT(E93, LEN(E93)-1)*1, "")*0.5)&amp;"g"</f>
        <v>46g</v>
      </c>
      <c r="E93" s="6" t="s">
        <v>202</v>
      </c>
      <c r="F93" s="3" t="str">
        <f t="shared" ref="F93:F97" si="66">SUM(IF(ISNUMBER( SEARCH("g",E93)), LEFT(E93, LEN(E93)-1)*1, "")*2)&amp;"g"</f>
        <v>184g</v>
      </c>
      <c r="H93" s="6" t="str">
        <f>SUM(IF(ISNUMBER( SEARCH("g",E93)), LEFT(E93, LEN(E93)-1)*1, "")+(SUM(IF(ISNUMBER( SEARCH("g",Dairy!D80)), LEFT(Dairy!D80, LEN(Dairy!D80)-1)*1, ""))))&amp;"g"</f>
        <v>105g</v>
      </c>
      <c r="I93"/>
    </row>
    <row r="94" spans="1:9" hidden="1" outlineLevel="1">
      <c r="A94" s="2" t="s">
        <v>15</v>
      </c>
      <c r="B94" s="3" t="str">
        <f t="shared" si="64"/>
        <v>2g</v>
      </c>
      <c r="C94" s="3" t="str">
        <f>SUM(IF(ISNUMBER( SEARCH("g",E94)), LEFT(E94, LEN(E94)-1)*1, "")*0.375)&amp;"g"</f>
        <v>3g</v>
      </c>
      <c r="D94" s="3" t="str">
        <f t="shared" si="65"/>
        <v>4g</v>
      </c>
      <c r="E94" s="6" t="s">
        <v>63</v>
      </c>
      <c r="F94" s="3" t="str">
        <f t="shared" si="66"/>
        <v>16g</v>
      </c>
      <c r="H94" s="6" t="str">
        <f>SUM(IF(ISNUMBER( SEARCH("g",E94)), LEFT(E94, LEN(E94)-1)*1, "")+(SUM(IF(ISNUMBER( SEARCH("g",Dairy!D81)), LEFT(Dairy!D81, LEN(Dairy!D81)-1)*1, ""))))&amp;"g"</f>
        <v>8g</v>
      </c>
      <c r="I94"/>
    </row>
    <row r="95" spans="1:9" hidden="1" outlineLevel="1">
      <c r="A95" s="2" t="s">
        <v>17</v>
      </c>
      <c r="B95" s="3" t="str">
        <f t="shared" si="64"/>
        <v>9.5g</v>
      </c>
      <c r="C95" s="3" t="str">
        <f>SUM(IF(ISNUMBER( SEARCH("g",E95)), LEFT(E95, LEN(E95)-1)*1, "")*0.375)&amp;"g"</f>
        <v>14.25g</v>
      </c>
      <c r="D95" s="3" t="str">
        <f t="shared" si="65"/>
        <v>19g</v>
      </c>
      <c r="E95" s="6" t="s">
        <v>203</v>
      </c>
      <c r="F95" s="3" t="str">
        <f t="shared" si="66"/>
        <v>76g</v>
      </c>
      <c r="H95" s="6" t="str">
        <f>SUM(IF(ISNUMBER( SEARCH("g",E95)), LEFT(E95, LEN(E95)-1)*1, "")+(SUM(IF(ISNUMBER( SEARCH("g",Dairy!D82)), LEFT(Dairy!D82, LEN(Dairy!D82)-1)*1, ""))))&amp;"g"</f>
        <v>50g</v>
      </c>
      <c r="I95"/>
    </row>
    <row r="96" spans="1:9" hidden="1" outlineLevel="1">
      <c r="A96" s="2" t="s">
        <v>27</v>
      </c>
      <c r="B96" s="3" t="str">
        <f t="shared" si="64"/>
        <v>6.5g</v>
      </c>
      <c r="C96" s="3" t="str">
        <f>SUM(IF(ISNUMBER( SEARCH("g",E96)), LEFT(E96, LEN(E96)-1)*1, "")*0.375)&amp;"g"</f>
        <v>9.75g</v>
      </c>
      <c r="D96" s="3" t="str">
        <f t="shared" si="65"/>
        <v>13g</v>
      </c>
      <c r="E96" s="6" t="s">
        <v>76</v>
      </c>
      <c r="F96" s="3" t="str">
        <f t="shared" si="66"/>
        <v>52g</v>
      </c>
      <c r="H96" s="6" t="str">
        <f>SUM(IF(ISNUMBER( SEARCH("g",E96)), LEFT(E96, LEN(E96)-1)*1, "")+(SUM(IF(ISNUMBER( SEARCH("g",Dairy!D83)), LEFT(Dairy!D83, LEN(Dairy!D83)-1)*1, ""))))&amp;"g"</f>
        <v>26g</v>
      </c>
      <c r="I96"/>
    </row>
    <row r="97" spans="1:9" hidden="1" outlineLevel="1">
      <c r="A97" s="2" t="s">
        <v>19</v>
      </c>
      <c r="B97" s="3" t="str">
        <f t="shared" si="64"/>
        <v>2g</v>
      </c>
      <c r="C97" s="3" t="str">
        <f>SUM(IF(ISNUMBER( SEARCH("g",E97)), LEFT(E97, LEN(E97)-1)*1, "")*0.375)&amp;"g"</f>
        <v>3g</v>
      </c>
      <c r="D97" s="3" t="str">
        <f t="shared" si="65"/>
        <v>4g</v>
      </c>
      <c r="E97" s="6" t="s">
        <v>63</v>
      </c>
      <c r="F97" s="3" t="str">
        <f t="shared" si="66"/>
        <v>16g</v>
      </c>
      <c r="H97" s="6" t="str">
        <f>SUM(IF(ISNUMBER( SEARCH("g",E97)), LEFT(E97, LEN(E97)-1)*1, "")+(SUM(IF(ISNUMBER( SEARCH("g",Dairy!D84)), LEFT(Dairy!D84, LEN(Dairy!D84)-1)*1, ""))))&amp;"g"</f>
        <v>17g</v>
      </c>
      <c r="I97"/>
    </row>
    <row r="98" spans="1:9" collapsed="1">
      <c r="A98" s="26" t="s">
        <v>204</v>
      </c>
      <c r="B98" s="26"/>
      <c r="C98" s="26"/>
      <c r="D98" s="26"/>
      <c r="E98" s="26"/>
    </row>
    <row r="99" spans="1:9">
      <c r="A99" s="27" t="s">
        <v>205</v>
      </c>
      <c r="B99" s="27"/>
      <c r="C99" s="6"/>
    </row>
    <row r="100" spans="1:9" hidden="1" outlineLevel="1">
      <c r="A100" s="2" t="s">
        <v>1</v>
      </c>
      <c r="B100" s="9" t="s">
        <v>78</v>
      </c>
      <c r="C100" s="9" t="s">
        <v>162</v>
      </c>
    </row>
    <row r="101" spans="1:9" hidden="1" outlineLevel="1">
      <c r="A101" s="2" t="s">
        <v>4</v>
      </c>
      <c r="B101" s="6">
        <v>150</v>
      </c>
      <c r="C101" s="3">
        <f>(B101*2)</f>
        <v>300</v>
      </c>
    </row>
    <row r="102" spans="1:9" hidden="1" outlineLevel="1">
      <c r="A102" s="2" t="s">
        <v>5</v>
      </c>
      <c r="B102" s="6" t="s">
        <v>22</v>
      </c>
      <c r="C102" s="3" t="str">
        <f t="shared" ref="C102:C103" si="67">SUM(IF(ISNUMBER( SEARCH("g",B102)), LEFT(B102, LEN(B102)-1)*1, "")*2)&amp;"g"</f>
        <v>6g</v>
      </c>
    </row>
    <row r="103" spans="1:9" hidden="1" outlineLevel="1">
      <c r="A103" s="7" t="s">
        <v>7</v>
      </c>
      <c r="B103" s="6" t="s">
        <v>8</v>
      </c>
      <c r="C103" s="3" t="str">
        <f t="shared" si="67"/>
        <v>1g</v>
      </c>
    </row>
    <row r="104" spans="1:9" hidden="1" outlineLevel="1">
      <c r="A104" s="2" t="s">
        <v>9</v>
      </c>
      <c r="B104" s="6" t="s">
        <v>23</v>
      </c>
      <c r="C104" s="3" t="str">
        <f>SUM(IF(ISNUMBER( SEARCH("mg",B104)), LEFT(B104, LEN(B104)-2)*1, "")*2)&amp;"mg"</f>
        <v>0mg</v>
      </c>
    </row>
    <row r="105" spans="1:9" hidden="1" outlineLevel="1">
      <c r="A105" s="2" t="s">
        <v>11</v>
      </c>
      <c r="B105" s="6" t="s">
        <v>23</v>
      </c>
      <c r="C105" s="3" t="str">
        <f>SUM(IF(ISNUMBER( SEARCH("mg",B105)), LEFT(B105, LEN(B105)-2)*1, "")*2)&amp;"mg"</f>
        <v>0mg</v>
      </c>
    </row>
    <row r="106" spans="1:9" hidden="1" outlineLevel="1">
      <c r="A106" s="2" t="s">
        <v>13</v>
      </c>
      <c r="B106" s="6" t="s">
        <v>206</v>
      </c>
      <c r="C106" s="3" t="str">
        <f t="shared" ref="C106:C110" si="68">SUM(IF(ISNUMBER( SEARCH("g",B106)), LEFT(B106, LEN(B106)-1)*1, "")*2)&amp;"g"</f>
        <v>54g</v>
      </c>
    </row>
    <row r="107" spans="1:9" hidden="1" outlineLevel="1">
      <c r="A107" s="2" t="s">
        <v>15</v>
      </c>
      <c r="B107" s="6" t="s">
        <v>37</v>
      </c>
      <c r="C107" s="3" t="str">
        <f t="shared" si="68"/>
        <v>8g</v>
      </c>
    </row>
    <row r="108" spans="1:9" hidden="1" outlineLevel="1">
      <c r="A108" s="2" t="s">
        <v>17</v>
      </c>
      <c r="B108" s="6" t="s">
        <v>6</v>
      </c>
      <c r="C108" s="3" t="str">
        <f t="shared" si="68"/>
        <v>4g</v>
      </c>
    </row>
    <row r="109" spans="1:9" hidden="1" outlineLevel="1">
      <c r="A109" s="2" t="s">
        <v>27</v>
      </c>
      <c r="B109" s="6" t="s">
        <v>66</v>
      </c>
      <c r="C109" s="3" t="str">
        <f t="shared" si="68"/>
        <v>0g</v>
      </c>
    </row>
    <row r="110" spans="1:9" hidden="1" outlineLevel="1">
      <c r="A110" s="2" t="s">
        <v>19</v>
      </c>
      <c r="B110" s="6" t="s">
        <v>39</v>
      </c>
      <c r="C110" s="3" t="str">
        <f t="shared" si="68"/>
        <v>10g</v>
      </c>
    </row>
    <row r="111" spans="1:9" collapsed="1">
      <c r="A111" s="26" t="s">
        <v>207</v>
      </c>
      <c r="B111" s="26"/>
    </row>
    <row r="112" spans="1:9" hidden="1" outlineLevel="1">
      <c r="A112" s="7" t="s">
        <v>1</v>
      </c>
      <c r="B112" s="9" t="s">
        <v>208</v>
      </c>
      <c r="C112" s="9" t="s">
        <v>209</v>
      </c>
      <c r="D112" s="9" t="s">
        <v>210</v>
      </c>
      <c r="E112" s="9" t="s">
        <v>211</v>
      </c>
    </row>
    <row r="113" spans="1:5" hidden="1" outlineLevel="1">
      <c r="A113" s="7" t="s">
        <v>4</v>
      </c>
      <c r="B113" s="2">
        <v>75</v>
      </c>
      <c r="C113" s="3">
        <f>(B113*2)</f>
        <v>150</v>
      </c>
      <c r="D113" s="3">
        <f>(B113*3)</f>
        <v>225</v>
      </c>
      <c r="E113" s="3">
        <f>(B113*4)</f>
        <v>300</v>
      </c>
    </row>
    <row r="114" spans="1:5" hidden="1" outlineLevel="1">
      <c r="A114" s="7" t="s">
        <v>5</v>
      </c>
      <c r="B114" s="6" t="s">
        <v>212</v>
      </c>
      <c r="C114" s="3" t="str">
        <f>SUM(IF(ISNUMBER( SEARCH("g",B114)), LEFT(B114, LEN(B114)-1)*1, "")*2)&amp;"g"</f>
        <v>13g</v>
      </c>
      <c r="D114" s="3" t="str">
        <f>SUM(IF(ISNUMBER( SEARCH("g",B114)), LEFT(B114, LEN(B114)-1)*1, "")*3)&amp;"g"</f>
        <v>19.5g</v>
      </c>
      <c r="E114" s="3" t="str">
        <f>SUM(IF(ISNUMBER( SEARCH("g",B114)), LEFT(B114, LEN(B114)-1)*1, "")*4)&amp;"g"</f>
        <v>26g</v>
      </c>
    </row>
    <row r="115" spans="1:5" hidden="1" outlineLevel="1">
      <c r="A115" s="7" t="s">
        <v>147</v>
      </c>
      <c r="B115" s="6" t="s">
        <v>6</v>
      </c>
      <c r="C115" s="3" t="str">
        <f>SUM(IF(ISNUMBER( SEARCH("g",B115)), LEFT(B115, LEN(B115)-1)*1, "")*2)&amp;"g"</f>
        <v>4g</v>
      </c>
      <c r="D115" s="3" t="str">
        <f>SUM(IF(ISNUMBER( SEARCH("g",B115)), LEFT(B115, LEN(B115)-1)*1, "")*3)&amp;"g"</f>
        <v>6g</v>
      </c>
      <c r="E115" s="3" t="str">
        <f>SUM(IF(ISNUMBER( SEARCH("g",B115)), LEFT(B115, LEN(B115)-1)*1, "")*4)&amp;"g"</f>
        <v>8g</v>
      </c>
    </row>
    <row r="116" spans="1:5" hidden="1" outlineLevel="1">
      <c r="A116" s="7" t="s">
        <v>9</v>
      </c>
      <c r="B116" s="6" t="s">
        <v>86</v>
      </c>
      <c r="C116" s="3" t="str">
        <f>SUM(IF(ISNUMBER( SEARCH("mg",B116)), LEFT(B116, LEN(B116)-2)*1, "")*2)&amp;"mg"</f>
        <v>30mg</v>
      </c>
      <c r="D116" s="3" t="str">
        <f>SUM(IF(ISNUMBER( SEARCH("mg",B116)), LEFT(B116, LEN(B116)-2)*1, "")*3)&amp;"mg"</f>
        <v>45mg</v>
      </c>
      <c r="E116" s="3" t="str">
        <f>SUM(IF(ISNUMBER( SEARCH("mg",B116)), LEFT(B116, LEN(B116)-2)*1, "")*4)&amp;"mg"</f>
        <v>60mg</v>
      </c>
    </row>
    <row r="117" spans="1:5" hidden="1" outlineLevel="1">
      <c r="A117" s="7" t="s">
        <v>49</v>
      </c>
      <c r="B117" s="6" t="s">
        <v>50</v>
      </c>
      <c r="C117" s="3" t="str">
        <f>SUM(IF(ISNUMBER( SEARCH("mg",B117)), LEFT(B117, LEN(B117)-2)*1, "")*2)&amp;"mg"</f>
        <v>460mg</v>
      </c>
      <c r="D117" s="3" t="str">
        <f>SUM(IF(ISNUMBER( SEARCH("mg",B117)), LEFT(B117, LEN(B117)-2)*1, "")*3)&amp;"mg"</f>
        <v>690mg</v>
      </c>
      <c r="E117" s="3" t="str">
        <f>SUM(IF(ISNUMBER( SEARCH("mg",B117)), LEFT(B117, LEN(B117)-2)*1, "")*4)&amp;"mg"</f>
        <v>920mg</v>
      </c>
    </row>
    <row r="118" spans="1:5" hidden="1" outlineLevel="1">
      <c r="A118" s="7" t="s">
        <v>25</v>
      </c>
      <c r="B118" s="6" t="s">
        <v>14</v>
      </c>
      <c r="C118" s="3" t="str">
        <f t="shared" ref="C118:C122" si="69">SUM(IF(ISNUMBER( SEARCH("g",B118)), LEFT(B118, LEN(B118)-1)*1, "")*2)&amp;"g"</f>
        <v>2g</v>
      </c>
      <c r="D118" s="3" t="str">
        <f t="shared" ref="D118:E122" si="70">SUM(IF(ISNUMBER( SEARCH("g",C118)), LEFT(C118, LEN(C118)-1)*1, "")+(SUM(IF(ISNUMBER( SEARCH("g",C118)), LEFT(C118, LEN(C118)-1)*1, "")))/2)&amp;"g"</f>
        <v>3g</v>
      </c>
      <c r="E118" s="3" t="str">
        <f t="shared" ref="E118:E122" si="71">SUM(IF(ISNUMBER( SEARCH("g",B118)), LEFT(B118, LEN(B118)-1)*1, "")*4)&amp;"g"</f>
        <v>4g</v>
      </c>
    </row>
    <row r="119" spans="1:5" hidden="1" outlineLevel="1">
      <c r="A119" s="7" t="s">
        <v>52</v>
      </c>
      <c r="B119" s="6" t="s">
        <v>66</v>
      </c>
      <c r="C119" s="3" t="str">
        <f t="shared" si="69"/>
        <v>0g</v>
      </c>
      <c r="D119" s="3" t="str">
        <f t="shared" ref="D119:D122" si="72">SUM(IF(ISNUMBER( SEARCH("g",B119)), LEFT(B119, LEN(B119)-1)*1, "")*3)&amp;"g"</f>
        <v>0g</v>
      </c>
      <c r="E119" s="3" t="str">
        <f t="shared" si="71"/>
        <v>0g</v>
      </c>
    </row>
    <row r="120" spans="1:5" hidden="1" outlineLevel="1">
      <c r="A120" s="7" t="s">
        <v>27</v>
      </c>
      <c r="B120" s="6" t="s">
        <v>14</v>
      </c>
      <c r="C120" s="3" t="str">
        <f t="shared" si="69"/>
        <v>2g</v>
      </c>
      <c r="D120" s="3" t="str">
        <f t="shared" si="72"/>
        <v>3g</v>
      </c>
      <c r="E120" s="3" t="str">
        <f t="shared" si="71"/>
        <v>4g</v>
      </c>
    </row>
    <row r="121" spans="1:5" hidden="1" outlineLevel="1">
      <c r="A121" s="2" t="s">
        <v>15</v>
      </c>
      <c r="B121" s="6" t="s">
        <v>66</v>
      </c>
      <c r="C121" s="3" t="str">
        <f t="shared" si="69"/>
        <v>0g</v>
      </c>
      <c r="D121" s="3" t="str">
        <f t="shared" si="72"/>
        <v>0g</v>
      </c>
      <c r="E121" s="3" t="str">
        <f t="shared" si="71"/>
        <v>0g</v>
      </c>
    </row>
    <row r="122" spans="1:5" hidden="1" outlineLevel="1">
      <c r="A122" s="7" t="s">
        <v>19</v>
      </c>
      <c r="B122" s="6" t="s">
        <v>29</v>
      </c>
      <c r="C122" s="3" t="str">
        <f t="shared" si="69"/>
        <v>7g</v>
      </c>
      <c r="D122" s="3" t="str">
        <f t="shared" si="72"/>
        <v>10.5g</v>
      </c>
      <c r="E122" s="3" t="str">
        <f t="shared" si="71"/>
        <v>14g</v>
      </c>
    </row>
    <row r="123" spans="1:5" collapsed="1">
      <c r="A123" s="26" t="s">
        <v>213</v>
      </c>
      <c r="B123" s="26"/>
    </row>
    <row r="124" spans="1:5" hidden="1" outlineLevel="1">
      <c r="A124" s="7" t="s">
        <v>1</v>
      </c>
      <c r="B124" s="9" t="s">
        <v>155</v>
      </c>
      <c r="C124" s="9" t="s">
        <v>150</v>
      </c>
      <c r="D124" s="9" t="s">
        <v>151</v>
      </c>
      <c r="E124" s="9" t="s">
        <v>214</v>
      </c>
    </row>
    <row r="125" spans="1:5" hidden="1" outlineLevel="1">
      <c r="A125" s="7" t="s">
        <v>4</v>
      </c>
      <c r="B125" s="6">
        <f>(C125/2)</f>
        <v>45</v>
      </c>
      <c r="C125" s="6">
        <v>90</v>
      </c>
      <c r="D125" s="6">
        <f>(C125*1.5)</f>
        <v>135</v>
      </c>
      <c r="E125" s="6">
        <f>(C125*2)</f>
        <v>180</v>
      </c>
    </row>
    <row r="126" spans="1:5" hidden="1" outlineLevel="1">
      <c r="A126" s="7" t="s">
        <v>5</v>
      </c>
      <c r="B126" s="6" t="str">
        <f>SUM(IF(ISNUMBER( SEARCH("g",C126)), LEFT(C126, LEN(C126)-1)*1, "")*0.5)&amp;"g"</f>
        <v>3.5g</v>
      </c>
      <c r="C126" s="6" t="s">
        <v>16</v>
      </c>
      <c r="D126" s="6" t="str">
        <f>SUM(IF(ISNUMBER( SEARCH("g",C126)), LEFT(C126, LEN(C126)-1)*1, "")*1.5)&amp;"g"</f>
        <v>10.5g</v>
      </c>
      <c r="E126" s="6" t="str">
        <f>SUM(IF(ISNUMBER( SEARCH("g",C126)), LEFT(C126, LEN(C126)-1)*1, "")*2)&amp;"g"</f>
        <v>14g</v>
      </c>
    </row>
    <row r="127" spans="1:5" hidden="1" outlineLevel="1">
      <c r="A127" s="7" t="s">
        <v>147</v>
      </c>
      <c r="B127" s="6" t="str">
        <f>SUM(IF(ISNUMBER( SEARCH("g",C127)), LEFT(C127, LEN(C127)-1)*1, "")*0.5)&amp;"g"</f>
        <v>1.25g</v>
      </c>
      <c r="C127" s="6" t="s">
        <v>75</v>
      </c>
      <c r="D127" s="6" t="str">
        <f>SUM(IF(ISNUMBER( SEARCH("g",C127)), LEFT(C127, LEN(C127)-1)*1, "")*1.5)&amp;"g"</f>
        <v>3.75g</v>
      </c>
      <c r="E127" s="6" t="str">
        <f>SUM(IF(ISNUMBER( SEARCH("g",C127)), LEFT(C127, LEN(C127)-1)*1, "")*2)&amp;"g"</f>
        <v>5g</v>
      </c>
    </row>
    <row r="128" spans="1:5" hidden="1" outlineLevel="1">
      <c r="A128" s="7" t="s">
        <v>9</v>
      </c>
      <c r="B128" s="6" t="str">
        <f>SUM(IF(ISNUMBER( SEARCH("mg",C128)), LEFT(C128, LEN(C128)-2)*1, "")*0.5)&amp;"mg"</f>
        <v>10mg</v>
      </c>
      <c r="C128" s="6" t="s">
        <v>215</v>
      </c>
      <c r="D128" s="6" t="str">
        <f>SUM(IF(ISNUMBER( SEARCH("mg",C128)), LEFT(C128, LEN(C128)-2)*1, "")*1.5)&amp;"mg"</f>
        <v>30mg</v>
      </c>
      <c r="E128" s="3" t="str">
        <f t="shared" ref="E128:E129" si="73">SUM(IF(ISNUMBER( SEARCH("mg",D128)), LEFT(D128, LEN(D128)-2)*1, "")*2)&amp;"mg"</f>
        <v>60mg</v>
      </c>
    </row>
    <row r="129" spans="1:5" hidden="1" outlineLevel="1">
      <c r="A129" s="7" t="s">
        <v>49</v>
      </c>
      <c r="B129" s="6" t="str">
        <f>SUM(IF(ISNUMBER( SEARCH("mg",C129)), LEFT(C129, LEN(C129)-2)*1, "")*0.5)&amp;"mg"</f>
        <v>175mg</v>
      </c>
      <c r="C129" s="6" t="s">
        <v>216</v>
      </c>
      <c r="D129" s="6" t="str">
        <f>SUM(IF(ISNUMBER( SEARCH("mg",C129)), LEFT(C129, LEN(C129)-2)*1, "")*1.5)&amp;"mg"</f>
        <v>525mg</v>
      </c>
      <c r="E129" s="3" t="str">
        <f t="shared" si="73"/>
        <v>1050mg</v>
      </c>
    </row>
    <row r="130" spans="1:5" hidden="1" outlineLevel="1">
      <c r="A130" s="7" t="s">
        <v>25</v>
      </c>
      <c r="B130" s="6" t="str">
        <f t="shared" ref="B130:B134" si="74">SUM(IF(ISNUMBER( SEARCH("g",C130)), LEFT(C130, LEN(C130)-1)*1, "")*0.5)&amp;"g"</f>
        <v>0g</v>
      </c>
      <c r="C130" s="6" t="s">
        <v>66</v>
      </c>
      <c r="D130" s="6" t="str">
        <f t="shared" ref="D130:D134" si="75">SUM(IF(ISNUMBER( SEARCH("g",C130)), LEFT(C130, LEN(C130)-1)*1, "")*1.5)&amp;"g"</f>
        <v>0g</v>
      </c>
      <c r="E130" s="6" t="str">
        <f t="shared" ref="E130:E134" si="76">SUM(IF(ISNUMBER( SEARCH("g",C130)), LEFT(C130, LEN(C130)-1)*1, "")*2)&amp;"g"</f>
        <v>0g</v>
      </c>
    </row>
    <row r="131" spans="1:5" hidden="1" outlineLevel="1">
      <c r="A131" s="7" t="s">
        <v>52</v>
      </c>
      <c r="B131" s="6" t="str">
        <f t="shared" si="74"/>
        <v>0g</v>
      </c>
      <c r="C131" s="6" t="s">
        <v>66</v>
      </c>
      <c r="D131" s="6" t="str">
        <f t="shared" si="75"/>
        <v>0g</v>
      </c>
      <c r="E131" s="6" t="str">
        <f t="shared" si="76"/>
        <v>0g</v>
      </c>
    </row>
    <row r="132" spans="1:5" hidden="1" outlineLevel="1">
      <c r="A132" s="7" t="s">
        <v>27</v>
      </c>
      <c r="B132" s="6" t="str">
        <f t="shared" si="74"/>
        <v>0g</v>
      </c>
      <c r="C132" s="6" t="s">
        <v>66</v>
      </c>
      <c r="D132" s="6" t="str">
        <f t="shared" si="75"/>
        <v>0g</v>
      </c>
      <c r="E132" s="6" t="str">
        <f t="shared" si="76"/>
        <v>0g</v>
      </c>
    </row>
    <row r="133" spans="1:5" hidden="1" outlineLevel="1">
      <c r="A133" s="2" t="s">
        <v>15</v>
      </c>
      <c r="B133" s="6" t="str">
        <f t="shared" si="74"/>
        <v>0g</v>
      </c>
      <c r="C133" s="6" t="s">
        <v>66</v>
      </c>
      <c r="D133" s="6" t="str">
        <f t="shared" si="75"/>
        <v>0g</v>
      </c>
      <c r="E133" s="6" t="str">
        <f t="shared" si="76"/>
        <v>0g</v>
      </c>
    </row>
    <row r="134" spans="1:5" hidden="1" outlineLevel="1">
      <c r="A134" s="7" t="s">
        <v>19</v>
      </c>
      <c r="B134" s="6" t="str">
        <f t="shared" si="74"/>
        <v>3.5g</v>
      </c>
      <c r="C134" s="6" t="s">
        <v>16</v>
      </c>
      <c r="D134" s="6" t="str">
        <f t="shared" si="75"/>
        <v>10.5g</v>
      </c>
      <c r="E134" s="6" t="str">
        <f t="shared" si="76"/>
        <v>14g</v>
      </c>
    </row>
    <row r="135" spans="1:5" collapsed="1">
      <c r="A135" s="26" t="s">
        <v>217</v>
      </c>
      <c r="B135" s="26"/>
    </row>
    <row r="136" spans="1:5" hidden="1" outlineLevel="1">
      <c r="A136" s="2" t="s">
        <v>1</v>
      </c>
      <c r="B136" s="9" t="s">
        <v>218</v>
      </c>
    </row>
    <row r="137" spans="1:5" hidden="1" outlineLevel="1">
      <c r="A137" s="2" t="s">
        <v>4</v>
      </c>
      <c r="B137" s="2">
        <v>100</v>
      </c>
    </row>
    <row r="138" spans="1:5" hidden="1" outlineLevel="1">
      <c r="A138" s="2" t="s">
        <v>5</v>
      </c>
      <c r="B138" s="6" t="s">
        <v>63</v>
      </c>
    </row>
    <row r="139" spans="1:5" hidden="1" outlineLevel="1">
      <c r="A139" s="2" t="s">
        <v>147</v>
      </c>
      <c r="B139" s="6" t="s">
        <v>75</v>
      </c>
    </row>
    <row r="140" spans="1:5" hidden="1" outlineLevel="1">
      <c r="A140" s="2" t="s">
        <v>9</v>
      </c>
      <c r="B140" s="6" t="s">
        <v>219</v>
      </c>
    </row>
    <row r="141" spans="1:5" hidden="1" outlineLevel="1">
      <c r="A141" s="2" t="s">
        <v>49</v>
      </c>
      <c r="B141" s="6" t="s">
        <v>198</v>
      </c>
    </row>
    <row r="142" spans="1:5" hidden="1" outlineLevel="1">
      <c r="A142" s="2" t="s">
        <v>25</v>
      </c>
      <c r="B142" s="6" t="s">
        <v>66</v>
      </c>
    </row>
    <row r="143" spans="1:5" hidden="1" outlineLevel="1">
      <c r="A143" s="2" t="s">
        <v>52</v>
      </c>
      <c r="B143" s="6" t="s">
        <v>66</v>
      </c>
    </row>
    <row r="144" spans="1:5" hidden="1" outlineLevel="1">
      <c r="A144" s="2" t="s">
        <v>27</v>
      </c>
      <c r="B144" s="6" t="s">
        <v>66</v>
      </c>
    </row>
    <row r="145" spans="1:2" hidden="1" outlineLevel="1">
      <c r="A145" s="2" t="s">
        <v>15</v>
      </c>
      <c r="B145" s="6" t="s">
        <v>66</v>
      </c>
    </row>
    <row r="146" spans="1:2" hidden="1" outlineLevel="1">
      <c r="A146" s="2" t="s">
        <v>19</v>
      </c>
      <c r="B146" s="6" t="s">
        <v>56</v>
      </c>
    </row>
    <row r="147" spans="1:2" collapsed="1"/>
  </sheetData>
  <mergeCells count="15">
    <mergeCell ref="A1:E1"/>
    <mergeCell ref="H2:I2"/>
    <mergeCell ref="A14:B14"/>
    <mergeCell ref="A26:B26"/>
    <mergeCell ref="A98:E98"/>
    <mergeCell ref="A2:B2"/>
    <mergeCell ref="A135:B135"/>
    <mergeCell ref="A123:B123"/>
    <mergeCell ref="A38:B38"/>
    <mergeCell ref="A50:B50"/>
    <mergeCell ref="A62:B62"/>
    <mergeCell ref="A74:B74"/>
    <mergeCell ref="A86:B86"/>
    <mergeCell ref="A99:B99"/>
    <mergeCell ref="A111:B111"/>
  </mergeCells>
  <phoneticPr fontId="2" type="noConversion"/>
  <pageMargins left="0.7" right="0.7" top="0.75" bottom="0.75" header="0.3" footer="0.3"/>
  <pageSetup paperSize="256" orientation="portrait" horizontalDpi="203" verticalDpi="20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84ABD-45F4-484A-A6C4-677487A9FE8A}">
  <sheetPr codeName="Sheet5"/>
  <dimension ref="A1:D314"/>
  <sheetViews>
    <sheetView zoomScale="115" zoomScaleNormal="115" workbookViewId="0">
      <selection activeCell="D117" sqref="D117"/>
    </sheetView>
  </sheetViews>
  <sheetFormatPr defaultRowHeight="15" outlineLevelRow="1"/>
  <cols>
    <col min="1" max="1" width="31.85546875" customWidth="1"/>
    <col min="2" max="2" width="30.140625" customWidth="1"/>
    <col min="3" max="3" width="19.140625" customWidth="1"/>
    <col min="4" max="4" width="15.5703125" customWidth="1"/>
  </cols>
  <sheetData>
    <row r="1" spans="1:2">
      <c r="A1" s="26" t="s">
        <v>220</v>
      </c>
      <c r="B1" s="26"/>
    </row>
    <row r="2" spans="1:2" hidden="1" outlineLevel="1">
      <c r="A2" s="7" t="s">
        <v>1</v>
      </c>
      <c r="B2" s="9" t="s">
        <v>221</v>
      </c>
    </row>
    <row r="3" spans="1:2" hidden="1" outlineLevel="1">
      <c r="A3" s="7" t="s">
        <v>4</v>
      </c>
      <c r="B3" s="6">
        <v>100</v>
      </c>
    </row>
    <row r="4" spans="1:2" hidden="1" outlineLevel="1">
      <c r="A4" s="7" t="s">
        <v>5</v>
      </c>
      <c r="B4" s="6" t="s">
        <v>66</v>
      </c>
    </row>
    <row r="5" spans="1:2" hidden="1" outlineLevel="1">
      <c r="A5" s="7" t="s">
        <v>7</v>
      </c>
      <c r="B5" s="6" t="s">
        <v>66</v>
      </c>
    </row>
    <row r="6" spans="1:2" hidden="1" outlineLevel="1">
      <c r="A6" s="7" t="s">
        <v>9</v>
      </c>
      <c r="B6" s="6" t="s">
        <v>23</v>
      </c>
    </row>
    <row r="7" spans="1:2" hidden="1" outlineLevel="1">
      <c r="A7" s="7" t="s">
        <v>49</v>
      </c>
      <c r="B7" s="6" t="s">
        <v>222</v>
      </c>
    </row>
    <row r="8" spans="1:2" hidden="1" outlineLevel="1">
      <c r="A8" s="7" t="s">
        <v>25</v>
      </c>
      <c r="B8" s="6" t="s">
        <v>223</v>
      </c>
    </row>
    <row r="9" spans="1:2" hidden="1" outlineLevel="1">
      <c r="A9" s="7" t="s">
        <v>15</v>
      </c>
      <c r="B9" s="6" t="s">
        <v>66</v>
      </c>
    </row>
    <row r="10" spans="1:2" hidden="1" outlineLevel="1">
      <c r="A10" s="7" t="s">
        <v>17</v>
      </c>
      <c r="B10" s="6" t="s">
        <v>223</v>
      </c>
    </row>
    <row r="11" spans="1:2" hidden="1" outlineLevel="1">
      <c r="A11" s="7" t="s">
        <v>27</v>
      </c>
      <c r="B11" s="6" t="s">
        <v>223</v>
      </c>
    </row>
    <row r="12" spans="1:2" hidden="1" outlineLevel="1">
      <c r="A12" s="7" t="s">
        <v>19</v>
      </c>
      <c r="B12" s="6" t="s">
        <v>66</v>
      </c>
    </row>
    <row r="13" spans="1:2" collapsed="1">
      <c r="A13" s="26" t="s">
        <v>224</v>
      </c>
      <c r="B13" s="26"/>
    </row>
    <row r="14" spans="1:2" hidden="1" outlineLevel="1">
      <c r="A14" s="7" t="s">
        <v>1</v>
      </c>
      <c r="B14" s="9" t="s">
        <v>225</v>
      </c>
    </row>
    <row r="15" spans="1:2" hidden="1" outlineLevel="1">
      <c r="A15" s="7" t="s">
        <v>4</v>
      </c>
      <c r="B15" s="6">
        <v>110</v>
      </c>
    </row>
    <row r="16" spans="1:2" hidden="1" outlineLevel="1">
      <c r="A16" s="7" t="s">
        <v>5</v>
      </c>
      <c r="B16" s="6" t="s">
        <v>66</v>
      </c>
    </row>
    <row r="17" spans="1:2" hidden="1" outlineLevel="1">
      <c r="A17" s="7" t="s">
        <v>7</v>
      </c>
      <c r="B17" s="6" t="s">
        <v>66</v>
      </c>
    </row>
    <row r="18" spans="1:2" hidden="1" outlineLevel="1">
      <c r="A18" s="7" t="s">
        <v>9</v>
      </c>
      <c r="B18" s="6" t="s">
        <v>23</v>
      </c>
    </row>
    <row r="19" spans="1:2" hidden="1" outlineLevel="1">
      <c r="A19" s="7" t="s">
        <v>11</v>
      </c>
      <c r="B19" s="6" t="s">
        <v>112</v>
      </c>
    </row>
    <row r="20" spans="1:2" hidden="1" outlineLevel="1">
      <c r="A20" s="7" t="s">
        <v>25</v>
      </c>
      <c r="B20" s="6" t="s">
        <v>126</v>
      </c>
    </row>
    <row r="21" spans="1:2" hidden="1" outlineLevel="1">
      <c r="A21" s="7" t="s">
        <v>15</v>
      </c>
      <c r="B21" s="6" t="s">
        <v>66</v>
      </c>
    </row>
    <row r="22" spans="1:2" hidden="1" outlineLevel="1">
      <c r="A22" s="7" t="s">
        <v>226</v>
      </c>
      <c r="B22" s="6" t="s">
        <v>206</v>
      </c>
    </row>
    <row r="23" spans="1:2" hidden="1" outlineLevel="1">
      <c r="A23" s="7" t="s">
        <v>60</v>
      </c>
      <c r="B23" s="6" t="s">
        <v>206</v>
      </c>
    </row>
    <row r="24" spans="1:2" hidden="1" outlineLevel="1">
      <c r="A24" s="7" t="s">
        <v>227</v>
      </c>
      <c r="B24" s="6" t="s">
        <v>66</v>
      </c>
    </row>
    <row r="25" spans="1:2" collapsed="1">
      <c r="A25" s="26" t="s">
        <v>228</v>
      </c>
      <c r="B25" s="26"/>
    </row>
    <row r="26" spans="1:2" hidden="1" outlineLevel="1">
      <c r="A26" s="7" t="s">
        <v>1</v>
      </c>
      <c r="B26" s="9" t="s">
        <v>229</v>
      </c>
    </row>
    <row r="27" spans="1:2" hidden="1" outlineLevel="1">
      <c r="A27" s="7" t="s">
        <v>4</v>
      </c>
      <c r="B27" s="6">
        <v>546</v>
      </c>
    </row>
    <row r="28" spans="1:2" hidden="1" outlineLevel="1">
      <c r="A28" s="7" t="s">
        <v>5</v>
      </c>
      <c r="B28" s="6" t="s">
        <v>230</v>
      </c>
    </row>
    <row r="29" spans="1:2" hidden="1" outlineLevel="1">
      <c r="A29" s="7" t="s">
        <v>7</v>
      </c>
      <c r="B29" s="6" t="s">
        <v>92</v>
      </c>
    </row>
    <row r="30" spans="1:2" hidden="1" outlineLevel="1">
      <c r="A30" s="7" t="s">
        <v>9</v>
      </c>
      <c r="B30" s="6" t="s">
        <v>231</v>
      </c>
    </row>
    <row r="31" spans="1:2" hidden="1" outlineLevel="1">
      <c r="A31" s="7" t="s">
        <v>49</v>
      </c>
      <c r="B31" s="6" t="s">
        <v>23</v>
      </c>
    </row>
    <row r="32" spans="1:2" hidden="1" outlineLevel="1">
      <c r="A32" s="7" t="s">
        <v>25</v>
      </c>
      <c r="B32" s="6" t="s">
        <v>232</v>
      </c>
    </row>
    <row r="33" spans="1:2" hidden="1" outlineLevel="1">
      <c r="A33" s="7" t="s">
        <v>15</v>
      </c>
      <c r="B33" s="6" t="s">
        <v>66</v>
      </c>
    </row>
    <row r="34" spans="1:2" hidden="1" outlineLevel="1">
      <c r="A34" s="7" t="s">
        <v>17</v>
      </c>
      <c r="B34" s="6" t="s">
        <v>233</v>
      </c>
    </row>
    <row r="35" spans="1:2" hidden="1" outlineLevel="1">
      <c r="A35" s="7" t="s">
        <v>27</v>
      </c>
      <c r="B35" s="6" t="s">
        <v>66</v>
      </c>
    </row>
    <row r="36" spans="1:2" hidden="1" outlineLevel="1">
      <c r="A36" s="7" t="s">
        <v>19</v>
      </c>
      <c r="B36" s="6" t="s">
        <v>122</v>
      </c>
    </row>
    <row r="37" spans="1:2" collapsed="1">
      <c r="A37" s="26" t="s">
        <v>234</v>
      </c>
      <c r="B37" s="26"/>
    </row>
    <row r="38" spans="1:2" hidden="1" outlineLevel="1">
      <c r="A38" s="7" t="s">
        <v>1</v>
      </c>
      <c r="B38" s="9" t="s">
        <v>145</v>
      </c>
    </row>
    <row r="39" spans="1:2" hidden="1" outlineLevel="1">
      <c r="A39" s="7" t="s">
        <v>4</v>
      </c>
      <c r="B39" s="6">
        <v>429</v>
      </c>
    </row>
    <row r="40" spans="1:2" hidden="1" outlineLevel="1">
      <c r="A40" s="7" t="s">
        <v>5</v>
      </c>
      <c r="B40" s="6" t="s">
        <v>44</v>
      </c>
    </row>
    <row r="41" spans="1:2" hidden="1" outlineLevel="1">
      <c r="A41" s="7" t="s">
        <v>7</v>
      </c>
      <c r="B41" s="6" t="s">
        <v>56</v>
      </c>
    </row>
    <row r="42" spans="1:2" hidden="1" outlineLevel="1">
      <c r="A42" s="7" t="s">
        <v>9</v>
      </c>
      <c r="B42" s="6" t="s">
        <v>235</v>
      </c>
    </row>
    <row r="43" spans="1:2" hidden="1" outlineLevel="1">
      <c r="A43" s="7" t="s">
        <v>49</v>
      </c>
      <c r="B43" s="6" t="s">
        <v>157</v>
      </c>
    </row>
    <row r="44" spans="1:2" hidden="1" outlineLevel="1">
      <c r="A44" s="7" t="s">
        <v>25</v>
      </c>
      <c r="B44" s="6" t="s">
        <v>236</v>
      </c>
    </row>
    <row r="45" spans="1:2" hidden="1" outlineLevel="1">
      <c r="A45" s="7" t="s">
        <v>15</v>
      </c>
      <c r="B45" s="6" t="s">
        <v>66</v>
      </c>
    </row>
    <row r="46" spans="1:2" hidden="1" outlineLevel="1">
      <c r="A46" s="7" t="s">
        <v>17</v>
      </c>
      <c r="B46" s="6" t="s">
        <v>179</v>
      </c>
    </row>
    <row r="47" spans="1:2" hidden="1" outlineLevel="1">
      <c r="A47" s="7" t="s">
        <v>27</v>
      </c>
      <c r="B47" s="6" t="s">
        <v>66</v>
      </c>
    </row>
    <row r="48" spans="1:2" hidden="1" outlineLevel="1">
      <c r="A48" s="7" t="s">
        <v>19</v>
      </c>
      <c r="B48" s="6" t="s">
        <v>96</v>
      </c>
    </row>
    <row r="49" spans="1:3" hidden="1" outlineLevel="1">
      <c r="A49" s="7" t="s">
        <v>237</v>
      </c>
      <c r="B49" s="6" t="s">
        <v>238</v>
      </c>
    </row>
    <row r="50" spans="1:3" collapsed="1">
      <c r="A50" s="26" t="s">
        <v>239</v>
      </c>
      <c r="B50" s="26"/>
    </row>
    <row r="51" spans="1:3" hidden="1" outlineLevel="1">
      <c r="A51" s="7" t="s">
        <v>1</v>
      </c>
      <c r="B51" s="9" t="s">
        <v>145</v>
      </c>
    </row>
    <row r="52" spans="1:3" hidden="1" outlineLevel="1">
      <c r="A52" s="7" t="s">
        <v>4</v>
      </c>
      <c r="B52" s="6">
        <v>474</v>
      </c>
    </row>
    <row r="53" spans="1:3" hidden="1" outlineLevel="1">
      <c r="A53" s="7" t="s">
        <v>5</v>
      </c>
      <c r="B53" s="6" t="s">
        <v>35</v>
      </c>
    </row>
    <row r="54" spans="1:3" hidden="1" outlineLevel="1">
      <c r="A54" s="7" t="s">
        <v>7</v>
      </c>
      <c r="B54" s="6" t="s">
        <v>63</v>
      </c>
    </row>
    <row r="55" spans="1:3" hidden="1" outlineLevel="1">
      <c r="A55" s="7" t="s">
        <v>9</v>
      </c>
      <c r="B55" s="6" t="s">
        <v>240</v>
      </c>
    </row>
    <row r="56" spans="1:3" hidden="1" outlineLevel="1">
      <c r="A56" s="7" t="s">
        <v>49</v>
      </c>
      <c r="B56" s="6" t="s">
        <v>241</v>
      </c>
    </row>
    <row r="57" spans="1:3" hidden="1" outlineLevel="1">
      <c r="A57" s="7" t="s">
        <v>25</v>
      </c>
      <c r="B57" s="6" t="s">
        <v>242</v>
      </c>
    </row>
    <row r="58" spans="1:3" hidden="1" outlineLevel="1">
      <c r="A58" s="7" t="s">
        <v>15</v>
      </c>
      <c r="B58" s="6" t="s">
        <v>66</v>
      </c>
    </row>
    <row r="59" spans="1:3" hidden="1" outlineLevel="1">
      <c r="A59" s="7" t="s">
        <v>17</v>
      </c>
      <c r="B59" s="6" t="s">
        <v>243</v>
      </c>
    </row>
    <row r="60" spans="1:3" hidden="1" outlineLevel="1">
      <c r="A60" s="7" t="s">
        <v>60</v>
      </c>
      <c r="B60" s="6" t="s">
        <v>66</v>
      </c>
    </row>
    <row r="61" spans="1:3" hidden="1" outlineLevel="1">
      <c r="A61" s="7" t="s">
        <v>19</v>
      </c>
      <c r="B61" s="6" t="s">
        <v>63</v>
      </c>
    </row>
    <row r="62" spans="1:3" collapsed="1">
      <c r="A62" s="26" t="s">
        <v>244</v>
      </c>
      <c r="B62" s="26"/>
      <c r="C62" s="3"/>
    </row>
    <row r="63" spans="1:3" hidden="1" outlineLevel="1">
      <c r="A63" s="7" t="s">
        <v>1</v>
      </c>
      <c r="B63" s="9" t="s">
        <v>245</v>
      </c>
      <c r="C63" s="3"/>
    </row>
    <row r="64" spans="1:3" hidden="1" outlineLevel="1">
      <c r="A64" s="7" t="s">
        <v>4</v>
      </c>
      <c r="B64" s="6">
        <v>30</v>
      </c>
      <c r="C64" s="3"/>
    </row>
    <row r="65" spans="1:3" hidden="1" outlineLevel="1">
      <c r="A65" s="7" t="s">
        <v>5</v>
      </c>
      <c r="B65" s="6" t="s">
        <v>66</v>
      </c>
      <c r="C65" s="3"/>
    </row>
    <row r="66" spans="1:3" hidden="1" outlineLevel="1">
      <c r="A66" s="7" t="s">
        <v>7</v>
      </c>
      <c r="B66" s="6" t="s">
        <v>66</v>
      </c>
      <c r="C66" s="3"/>
    </row>
    <row r="67" spans="1:3" hidden="1" outlineLevel="1">
      <c r="A67" s="7" t="s">
        <v>9</v>
      </c>
      <c r="B67" s="6" t="s">
        <v>23</v>
      </c>
      <c r="C67" s="3"/>
    </row>
    <row r="68" spans="1:3" hidden="1" outlineLevel="1">
      <c r="A68" s="7" t="s">
        <v>49</v>
      </c>
      <c r="B68" s="6" t="s">
        <v>246</v>
      </c>
      <c r="C68" s="3"/>
    </row>
    <row r="69" spans="1:3" hidden="1" outlineLevel="1">
      <c r="A69" s="7" t="s">
        <v>25</v>
      </c>
      <c r="B69" s="6" t="s">
        <v>63</v>
      </c>
      <c r="C69" s="3"/>
    </row>
    <row r="70" spans="1:3" hidden="1" outlineLevel="1">
      <c r="A70" s="7" t="s">
        <v>15</v>
      </c>
      <c r="B70" s="6" t="s">
        <v>66</v>
      </c>
      <c r="C70" s="3"/>
    </row>
    <row r="71" spans="1:3" hidden="1" outlineLevel="1">
      <c r="A71" s="7" t="s">
        <v>17</v>
      </c>
      <c r="B71" s="6" t="s">
        <v>63</v>
      </c>
      <c r="C71" s="3"/>
    </row>
    <row r="72" spans="1:3" hidden="1" outlineLevel="1">
      <c r="A72" s="7" t="s">
        <v>60</v>
      </c>
      <c r="B72" s="6" t="s">
        <v>66</v>
      </c>
      <c r="C72" s="3"/>
    </row>
    <row r="73" spans="1:3" hidden="1" outlineLevel="1">
      <c r="A73" s="7" t="s">
        <v>19</v>
      </c>
      <c r="B73" s="6" t="s">
        <v>247</v>
      </c>
      <c r="C73" s="3"/>
    </row>
    <row r="74" spans="1:3" collapsed="1">
      <c r="A74" s="27" t="s">
        <v>248</v>
      </c>
      <c r="B74" s="27"/>
      <c r="C74" s="3"/>
    </row>
    <row r="75" spans="1:3" hidden="1" outlineLevel="1">
      <c r="A75" s="7" t="s">
        <v>1</v>
      </c>
      <c r="B75" s="9" t="s">
        <v>249</v>
      </c>
      <c r="C75" s="3"/>
    </row>
    <row r="76" spans="1:3" hidden="1" outlineLevel="1">
      <c r="A76" s="7" t="s">
        <v>4</v>
      </c>
      <c r="B76">
        <v>100</v>
      </c>
      <c r="C76" s="3"/>
    </row>
    <row r="77" spans="1:3" hidden="1" outlineLevel="1">
      <c r="A77" s="7" t="s">
        <v>5</v>
      </c>
      <c r="B77" s="6" t="s">
        <v>30</v>
      </c>
      <c r="C77" s="3"/>
    </row>
    <row r="78" spans="1:3" hidden="1" outlineLevel="1">
      <c r="A78" s="7" t="s">
        <v>7</v>
      </c>
      <c r="B78" s="6" t="s">
        <v>14</v>
      </c>
      <c r="C78" s="3"/>
    </row>
    <row r="79" spans="1:3" hidden="1" outlineLevel="1">
      <c r="A79" s="7" t="s">
        <v>9</v>
      </c>
      <c r="B79" s="6" t="s">
        <v>90</v>
      </c>
      <c r="C79" s="3"/>
    </row>
    <row r="80" spans="1:3" hidden="1" outlineLevel="1">
      <c r="A80" s="7" t="s">
        <v>49</v>
      </c>
      <c r="B80" s="6" t="s">
        <v>110</v>
      </c>
      <c r="C80" s="3"/>
    </row>
    <row r="81" spans="1:3" hidden="1" outlineLevel="1">
      <c r="A81" s="7" t="s">
        <v>25</v>
      </c>
      <c r="B81" s="6" t="s">
        <v>26</v>
      </c>
      <c r="C81" s="3"/>
    </row>
    <row r="82" spans="1:3" hidden="1" outlineLevel="1">
      <c r="A82" s="7" t="s">
        <v>15</v>
      </c>
      <c r="B82" s="6" t="s">
        <v>66</v>
      </c>
      <c r="C82" s="3"/>
    </row>
    <row r="83" spans="1:3" hidden="1" outlineLevel="1">
      <c r="A83" s="7" t="s">
        <v>17</v>
      </c>
      <c r="B83" s="6" t="s">
        <v>79</v>
      </c>
      <c r="C83" s="3"/>
    </row>
    <row r="84" spans="1:3" hidden="1" outlineLevel="1">
      <c r="A84" s="7" t="s">
        <v>27</v>
      </c>
      <c r="B84" s="6" t="s">
        <v>96</v>
      </c>
      <c r="C84" s="3"/>
    </row>
    <row r="85" spans="1:3" hidden="1" outlineLevel="1">
      <c r="A85" s="7" t="s">
        <v>19</v>
      </c>
      <c r="B85" s="6" t="s">
        <v>22</v>
      </c>
      <c r="C85" s="3"/>
    </row>
    <row r="86" spans="1:3" collapsed="1">
      <c r="A86" s="27" t="s">
        <v>250</v>
      </c>
      <c r="B86" s="27"/>
      <c r="C86" s="3"/>
    </row>
    <row r="87" spans="1:3" hidden="1" outlineLevel="1">
      <c r="A87" s="7" t="s">
        <v>1</v>
      </c>
      <c r="B87" s="5" t="s">
        <v>251</v>
      </c>
      <c r="C87" s="3"/>
    </row>
    <row r="88" spans="1:3" hidden="1" outlineLevel="1">
      <c r="A88" s="7" t="s">
        <v>4</v>
      </c>
      <c r="B88" s="3">
        <v>180</v>
      </c>
      <c r="C88" s="3"/>
    </row>
    <row r="89" spans="1:3" hidden="1" outlineLevel="1">
      <c r="A89" s="7" t="s">
        <v>5</v>
      </c>
      <c r="B89" s="3" t="s">
        <v>29</v>
      </c>
      <c r="C89" s="3"/>
    </row>
    <row r="90" spans="1:3" hidden="1" outlineLevel="1">
      <c r="A90" s="7" t="s">
        <v>7</v>
      </c>
      <c r="B90" s="3" t="s">
        <v>75</v>
      </c>
      <c r="C90" s="3"/>
    </row>
    <row r="91" spans="1:3" hidden="1" outlineLevel="1">
      <c r="A91" s="7" t="s">
        <v>9</v>
      </c>
      <c r="B91" s="3" t="s">
        <v>72</v>
      </c>
      <c r="C91" s="3"/>
    </row>
    <row r="92" spans="1:3" hidden="1" outlineLevel="1">
      <c r="A92" s="7" t="s">
        <v>49</v>
      </c>
      <c r="B92" s="3" t="s">
        <v>101</v>
      </c>
      <c r="C92" s="3"/>
    </row>
    <row r="93" spans="1:3" hidden="1" outlineLevel="1">
      <c r="A93" s="7" t="s">
        <v>25</v>
      </c>
      <c r="B93" s="3" t="s">
        <v>146</v>
      </c>
      <c r="C93" s="3"/>
    </row>
    <row r="94" spans="1:3" hidden="1" outlineLevel="1">
      <c r="A94" s="7" t="s">
        <v>15</v>
      </c>
      <c r="B94" s="3" t="s">
        <v>66</v>
      </c>
      <c r="C94" s="3"/>
    </row>
    <row r="95" spans="1:3" hidden="1" outlineLevel="1">
      <c r="A95" s="7" t="s">
        <v>17</v>
      </c>
      <c r="B95" s="3" t="s">
        <v>126</v>
      </c>
      <c r="C95" s="3"/>
    </row>
    <row r="96" spans="1:3" hidden="1" outlineLevel="1">
      <c r="A96" s="7" t="s">
        <v>27</v>
      </c>
      <c r="B96" s="3" t="s">
        <v>119</v>
      </c>
      <c r="C96" s="3"/>
    </row>
    <row r="97" spans="1:4" hidden="1" outlineLevel="1">
      <c r="A97" s="7" t="s">
        <v>19</v>
      </c>
      <c r="B97" s="3" t="s">
        <v>39</v>
      </c>
      <c r="C97" s="3"/>
    </row>
    <row r="98" spans="1:4" collapsed="1">
      <c r="A98" s="27" t="s">
        <v>252</v>
      </c>
      <c r="B98" s="28"/>
      <c r="C98" s="3"/>
    </row>
    <row r="99" spans="1:4" hidden="1" outlineLevel="1">
      <c r="A99" s="7" t="s">
        <v>1</v>
      </c>
      <c r="B99" s="5" t="s">
        <v>251</v>
      </c>
      <c r="C99" s="3"/>
    </row>
    <row r="100" spans="1:4" hidden="1" outlineLevel="1">
      <c r="A100" s="7" t="s">
        <v>4</v>
      </c>
      <c r="B100" s="3">
        <v>170</v>
      </c>
      <c r="C100" s="3"/>
    </row>
    <row r="101" spans="1:4" hidden="1" outlineLevel="1">
      <c r="A101" s="7" t="s">
        <v>5</v>
      </c>
      <c r="B101" s="3" t="s">
        <v>29</v>
      </c>
      <c r="C101" s="3"/>
    </row>
    <row r="102" spans="1:4" hidden="1" outlineLevel="1">
      <c r="A102" s="7" t="s">
        <v>7</v>
      </c>
      <c r="B102" s="3" t="s">
        <v>6</v>
      </c>
      <c r="C102" s="3"/>
    </row>
    <row r="103" spans="1:4" hidden="1" outlineLevel="1">
      <c r="A103" s="7" t="s">
        <v>9</v>
      </c>
      <c r="B103" s="3" t="s">
        <v>86</v>
      </c>
      <c r="C103" s="3"/>
    </row>
    <row r="104" spans="1:4" hidden="1" outlineLevel="1">
      <c r="A104" s="7" t="s">
        <v>49</v>
      </c>
      <c r="B104" s="3" t="s">
        <v>253</v>
      </c>
      <c r="C104" s="3"/>
    </row>
    <row r="105" spans="1:4" hidden="1" outlineLevel="1">
      <c r="A105" s="7" t="s">
        <v>25</v>
      </c>
      <c r="B105" s="3" t="s">
        <v>126</v>
      </c>
      <c r="C105" s="3"/>
    </row>
    <row r="106" spans="1:4" hidden="1" outlineLevel="1">
      <c r="A106" s="7" t="s">
        <v>15</v>
      </c>
      <c r="B106" s="3" t="s">
        <v>66</v>
      </c>
      <c r="C106" s="3"/>
    </row>
    <row r="107" spans="1:4" hidden="1" outlineLevel="1">
      <c r="A107" s="7" t="s">
        <v>17</v>
      </c>
      <c r="B107" s="3" t="s">
        <v>76</v>
      </c>
      <c r="C107" s="3"/>
    </row>
    <row r="108" spans="1:4" hidden="1" outlineLevel="1">
      <c r="A108" s="7" t="s">
        <v>27</v>
      </c>
      <c r="B108" s="3" t="s">
        <v>53</v>
      </c>
      <c r="C108" s="3"/>
    </row>
    <row r="109" spans="1:4" hidden="1" outlineLevel="1">
      <c r="A109" s="7" t="s">
        <v>19</v>
      </c>
      <c r="B109" s="3" t="s">
        <v>39</v>
      </c>
      <c r="C109" s="3"/>
    </row>
    <row r="110" spans="1:4" collapsed="1">
      <c r="A110" s="26" t="s">
        <v>254</v>
      </c>
      <c r="B110" s="26"/>
    </row>
    <row r="111" spans="1:4" hidden="1" outlineLevel="1">
      <c r="A111" s="7" t="s">
        <v>1</v>
      </c>
      <c r="B111" s="5" t="s">
        <v>255</v>
      </c>
      <c r="C111" s="9" t="s">
        <v>256</v>
      </c>
      <c r="D111" s="5" t="s">
        <v>257</v>
      </c>
    </row>
    <row r="112" spans="1:4" hidden="1" outlineLevel="1">
      <c r="A112" s="7" t="s">
        <v>4</v>
      </c>
      <c r="B112" s="3">
        <v>100</v>
      </c>
      <c r="C112" s="6">
        <v>150</v>
      </c>
      <c r="D112" s="3">
        <v>250</v>
      </c>
    </row>
    <row r="113" spans="1:4" hidden="1" outlineLevel="1">
      <c r="A113" s="7" t="s">
        <v>5</v>
      </c>
      <c r="B113" s="3" t="s">
        <v>66</v>
      </c>
      <c r="C113" s="6" t="s">
        <v>66</v>
      </c>
      <c r="D113" s="3" t="s">
        <v>66</v>
      </c>
    </row>
    <row r="114" spans="1:4" hidden="1" outlineLevel="1">
      <c r="A114" s="7" t="s">
        <v>7</v>
      </c>
      <c r="B114" s="3" t="s">
        <v>66</v>
      </c>
      <c r="C114" s="6" t="s">
        <v>66</v>
      </c>
      <c r="D114" s="3" t="s">
        <v>66</v>
      </c>
    </row>
    <row r="115" spans="1:4" hidden="1" outlineLevel="1">
      <c r="A115" s="7" t="s">
        <v>9</v>
      </c>
      <c r="B115" s="3" t="s">
        <v>66</v>
      </c>
      <c r="C115" s="6" t="s">
        <v>23</v>
      </c>
      <c r="D115" s="3" t="s">
        <v>23</v>
      </c>
    </row>
    <row r="116" spans="1:4" hidden="1" outlineLevel="1">
      <c r="A116" s="7" t="s">
        <v>11</v>
      </c>
      <c r="B116" s="3" t="s">
        <v>215</v>
      </c>
      <c r="C116" s="6" t="s">
        <v>123</v>
      </c>
      <c r="D116" s="3" t="s">
        <v>258</v>
      </c>
    </row>
    <row r="117" spans="1:4" hidden="1" outlineLevel="1">
      <c r="A117" s="7" t="s">
        <v>25</v>
      </c>
      <c r="B117" s="3" t="s">
        <v>76</v>
      </c>
      <c r="C117" s="6" t="s">
        <v>125</v>
      </c>
      <c r="D117" s="3" t="s">
        <v>259</v>
      </c>
    </row>
    <row r="118" spans="1:4" hidden="1" outlineLevel="1">
      <c r="A118" s="7" t="s">
        <v>15</v>
      </c>
      <c r="B118" s="3" t="s">
        <v>66</v>
      </c>
      <c r="C118" s="6" t="s">
        <v>66</v>
      </c>
      <c r="D118" s="3" t="s">
        <v>66</v>
      </c>
    </row>
    <row r="119" spans="1:4" hidden="1" outlineLevel="1">
      <c r="A119" s="7" t="s">
        <v>226</v>
      </c>
      <c r="B119" s="3" t="s">
        <v>76</v>
      </c>
      <c r="C119" s="6" t="s">
        <v>125</v>
      </c>
      <c r="D119" s="3" t="s">
        <v>259</v>
      </c>
    </row>
    <row r="120" spans="1:4" hidden="1" outlineLevel="1">
      <c r="A120" s="7" t="s">
        <v>60</v>
      </c>
      <c r="B120" s="3" t="s">
        <v>76</v>
      </c>
      <c r="C120" s="6" t="s">
        <v>125</v>
      </c>
      <c r="D120" s="3" t="s">
        <v>259</v>
      </c>
    </row>
    <row r="121" spans="1:4" hidden="1" outlineLevel="1">
      <c r="A121" s="7" t="s">
        <v>227</v>
      </c>
      <c r="B121" s="3" t="s">
        <v>66</v>
      </c>
      <c r="C121" s="6" t="s">
        <v>66</v>
      </c>
      <c r="D121" s="3" t="s">
        <v>66</v>
      </c>
    </row>
    <row r="122" spans="1:4" collapsed="1">
      <c r="A122" s="26" t="s">
        <v>260</v>
      </c>
      <c r="B122" s="26"/>
    </row>
    <row r="123" spans="1:4" hidden="1" outlineLevel="1">
      <c r="A123" s="7" t="s">
        <v>1</v>
      </c>
      <c r="B123" s="5" t="s">
        <v>256</v>
      </c>
      <c r="C123" s="9" t="s">
        <v>257</v>
      </c>
    </row>
    <row r="124" spans="1:4" hidden="1" outlineLevel="1">
      <c r="A124" s="7" t="s">
        <v>4</v>
      </c>
      <c r="B124">
        <v>140</v>
      </c>
      <c r="C124" s="6">
        <v>230</v>
      </c>
    </row>
    <row r="125" spans="1:4" hidden="1" outlineLevel="1">
      <c r="A125" s="7" t="s">
        <v>5</v>
      </c>
      <c r="B125" s="3" t="s">
        <v>66</v>
      </c>
      <c r="C125" s="6" t="s">
        <v>66</v>
      </c>
    </row>
    <row r="126" spans="1:4" hidden="1" outlineLevel="1">
      <c r="A126" s="7" t="s">
        <v>7</v>
      </c>
      <c r="B126" s="3" t="s">
        <v>66</v>
      </c>
      <c r="C126" s="6" t="s">
        <v>66</v>
      </c>
    </row>
    <row r="127" spans="1:4" hidden="1" outlineLevel="1">
      <c r="A127" s="7" t="s">
        <v>9</v>
      </c>
      <c r="B127" s="3" t="s">
        <v>23</v>
      </c>
      <c r="C127" s="6" t="s">
        <v>23</v>
      </c>
    </row>
    <row r="128" spans="1:4" hidden="1" outlineLevel="1">
      <c r="A128" s="7" t="s">
        <v>49</v>
      </c>
      <c r="B128" s="3" t="s">
        <v>261</v>
      </c>
      <c r="C128" s="6" t="s">
        <v>95</v>
      </c>
    </row>
    <row r="129" spans="1:4" hidden="1" outlineLevel="1">
      <c r="A129" s="7" t="s">
        <v>25</v>
      </c>
      <c r="B129" s="3" t="s">
        <v>203</v>
      </c>
      <c r="C129" s="6" t="s">
        <v>182</v>
      </c>
    </row>
    <row r="130" spans="1:4" hidden="1" outlineLevel="1">
      <c r="A130" s="7" t="s">
        <v>15</v>
      </c>
      <c r="B130" s="3" t="s">
        <v>66</v>
      </c>
      <c r="C130" s="6" t="s">
        <v>66</v>
      </c>
    </row>
    <row r="131" spans="1:4" hidden="1" outlineLevel="1">
      <c r="A131" s="7" t="s">
        <v>17</v>
      </c>
      <c r="B131" s="3" t="s">
        <v>203</v>
      </c>
      <c r="C131" s="6" t="s">
        <v>262</v>
      </c>
    </row>
    <row r="132" spans="1:4" hidden="1" outlineLevel="1">
      <c r="A132" s="7" t="s">
        <v>27</v>
      </c>
      <c r="B132" s="3" t="s">
        <v>203</v>
      </c>
      <c r="C132" s="6" t="s">
        <v>262</v>
      </c>
    </row>
    <row r="133" spans="1:4" hidden="1" outlineLevel="1">
      <c r="A133" s="7" t="s">
        <v>19</v>
      </c>
      <c r="B133" s="3" t="s">
        <v>66</v>
      </c>
      <c r="C133" s="6" t="s">
        <v>66</v>
      </c>
    </row>
    <row r="134" spans="1:4" collapsed="1">
      <c r="A134" s="26" t="s">
        <v>263</v>
      </c>
      <c r="B134" s="26"/>
    </row>
    <row r="135" spans="1:4" hidden="1" outlineLevel="1">
      <c r="A135" s="7" t="s">
        <v>1</v>
      </c>
      <c r="B135" s="9" t="s">
        <v>255</v>
      </c>
      <c r="C135" s="5" t="s">
        <v>256</v>
      </c>
      <c r="D135" s="5" t="s">
        <v>264</v>
      </c>
    </row>
    <row r="136" spans="1:4" hidden="1" outlineLevel="1">
      <c r="A136" s="7" t="s">
        <v>4</v>
      </c>
      <c r="B136" s="6">
        <v>110</v>
      </c>
      <c r="C136" s="3">
        <v>170</v>
      </c>
      <c r="D136" s="3">
        <v>290</v>
      </c>
    </row>
    <row r="137" spans="1:4" hidden="1" outlineLevel="1">
      <c r="A137" s="7" t="s">
        <v>5</v>
      </c>
      <c r="B137" s="6" t="s">
        <v>66</v>
      </c>
      <c r="C137" s="3" t="s">
        <v>66</v>
      </c>
      <c r="D137" s="3" t="s">
        <v>66</v>
      </c>
    </row>
    <row r="138" spans="1:4" hidden="1" outlineLevel="1">
      <c r="A138" s="7" t="s">
        <v>7</v>
      </c>
      <c r="B138" s="6" t="s">
        <v>66</v>
      </c>
      <c r="C138" s="3" t="s">
        <v>66</v>
      </c>
      <c r="D138" s="3" t="s">
        <v>66</v>
      </c>
    </row>
    <row r="139" spans="1:4" hidden="1" outlineLevel="1">
      <c r="A139" s="7" t="s">
        <v>9</v>
      </c>
      <c r="B139" s="6" t="s">
        <v>23</v>
      </c>
      <c r="C139" s="3" t="s">
        <v>23</v>
      </c>
      <c r="D139" s="3" t="s">
        <v>23</v>
      </c>
    </row>
    <row r="140" spans="1:4" hidden="1" outlineLevel="1">
      <c r="A140" s="7" t="s">
        <v>49</v>
      </c>
      <c r="B140" s="6" t="s">
        <v>265</v>
      </c>
      <c r="C140" s="3" t="s">
        <v>168</v>
      </c>
      <c r="D140" s="3" t="s">
        <v>266</v>
      </c>
    </row>
    <row r="141" spans="1:4" hidden="1" outlineLevel="1">
      <c r="A141" s="7" t="s">
        <v>25</v>
      </c>
      <c r="B141" s="6" t="s">
        <v>126</v>
      </c>
      <c r="C141" s="3" t="s">
        <v>267</v>
      </c>
      <c r="D141" s="3" t="s">
        <v>268</v>
      </c>
    </row>
    <row r="142" spans="1:4" hidden="1" outlineLevel="1">
      <c r="A142" s="7" t="s">
        <v>15</v>
      </c>
      <c r="B142" s="6" t="s">
        <v>66</v>
      </c>
      <c r="C142" s="3" t="s">
        <v>66</v>
      </c>
      <c r="D142" s="3" t="s">
        <v>66</v>
      </c>
    </row>
    <row r="143" spans="1:4" hidden="1" outlineLevel="1">
      <c r="A143" s="7" t="s">
        <v>17</v>
      </c>
      <c r="B143" s="6" t="s">
        <v>126</v>
      </c>
      <c r="C143" s="3" t="s">
        <v>267</v>
      </c>
      <c r="D143" s="3" t="s">
        <v>268</v>
      </c>
    </row>
    <row r="144" spans="1:4" hidden="1" outlineLevel="1">
      <c r="A144" s="7" t="s">
        <v>27</v>
      </c>
      <c r="B144" s="6" t="s">
        <v>126</v>
      </c>
      <c r="C144" s="3" t="s">
        <v>267</v>
      </c>
      <c r="D144" s="3" t="s">
        <v>268</v>
      </c>
    </row>
    <row r="145" spans="1:4" hidden="1" outlineLevel="1">
      <c r="A145" s="7" t="s">
        <v>19</v>
      </c>
      <c r="B145" s="6" t="s">
        <v>66</v>
      </c>
      <c r="C145" s="3" t="s">
        <v>66</v>
      </c>
      <c r="D145" s="3" t="s">
        <v>66</v>
      </c>
    </row>
    <row r="146" spans="1:4" collapsed="1">
      <c r="A146" s="27" t="s">
        <v>269</v>
      </c>
      <c r="B146" s="27"/>
    </row>
    <row r="147" spans="1:4" hidden="1" outlineLevel="1">
      <c r="A147" s="7" t="s">
        <v>1</v>
      </c>
      <c r="B147" s="9" t="s">
        <v>270</v>
      </c>
    </row>
    <row r="148" spans="1:4" hidden="1" outlineLevel="1">
      <c r="A148" s="7" t="s">
        <v>4</v>
      </c>
      <c r="B148">
        <v>130</v>
      </c>
    </row>
    <row r="149" spans="1:4" hidden="1" outlineLevel="1">
      <c r="A149" s="7" t="s">
        <v>5</v>
      </c>
      <c r="B149" s="6" t="s">
        <v>66</v>
      </c>
    </row>
    <row r="150" spans="1:4" hidden="1" outlineLevel="1">
      <c r="A150" s="7" t="s">
        <v>7</v>
      </c>
      <c r="B150" s="6" t="s">
        <v>66</v>
      </c>
    </row>
    <row r="151" spans="1:4" hidden="1" outlineLevel="1">
      <c r="A151" s="7" t="s">
        <v>9</v>
      </c>
      <c r="B151" s="6" t="s">
        <v>23</v>
      </c>
    </row>
    <row r="152" spans="1:4" hidden="1" outlineLevel="1">
      <c r="A152" s="7" t="s">
        <v>49</v>
      </c>
      <c r="B152" s="6" t="s">
        <v>90</v>
      </c>
    </row>
    <row r="153" spans="1:4" hidden="1" outlineLevel="1">
      <c r="A153" s="7" t="s">
        <v>25</v>
      </c>
      <c r="B153" s="6" t="s">
        <v>102</v>
      </c>
    </row>
    <row r="154" spans="1:4" hidden="1" outlineLevel="1">
      <c r="A154" s="7" t="s">
        <v>15</v>
      </c>
      <c r="B154" s="6" t="s">
        <v>14</v>
      </c>
    </row>
    <row r="155" spans="1:4" hidden="1" outlineLevel="1">
      <c r="A155" s="7" t="s">
        <v>17</v>
      </c>
      <c r="B155" s="6" t="s">
        <v>223</v>
      </c>
    </row>
    <row r="156" spans="1:4" hidden="1" outlineLevel="1">
      <c r="A156" s="7" t="s">
        <v>27</v>
      </c>
      <c r="B156" s="6" t="s">
        <v>66</v>
      </c>
    </row>
    <row r="157" spans="1:4" hidden="1" outlineLevel="1">
      <c r="A157" s="7" t="s">
        <v>19</v>
      </c>
      <c r="B157" s="6" t="s">
        <v>66</v>
      </c>
    </row>
    <row r="158" spans="1:4" collapsed="1">
      <c r="A158" s="27" t="s">
        <v>271</v>
      </c>
      <c r="B158" s="27"/>
    </row>
    <row r="159" spans="1:4" hidden="1" outlineLevel="1">
      <c r="A159" s="7" t="s">
        <v>1</v>
      </c>
      <c r="B159" s="9" t="s">
        <v>270</v>
      </c>
    </row>
    <row r="160" spans="1:4" hidden="1" outlineLevel="1">
      <c r="A160" s="7" t="s">
        <v>4</v>
      </c>
      <c r="B160">
        <v>130</v>
      </c>
    </row>
    <row r="161" spans="1:2" hidden="1" outlineLevel="1">
      <c r="A161" s="7" t="s">
        <v>5</v>
      </c>
      <c r="B161" s="6" t="s">
        <v>66</v>
      </c>
    </row>
    <row r="162" spans="1:2" hidden="1" outlineLevel="1">
      <c r="A162" s="7" t="s">
        <v>7</v>
      </c>
      <c r="B162" s="6" t="s">
        <v>66</v>
      </c>
    </row>
    <row r="163" spans="1:2" hidden="1" outlineLevel="1">
      <c r="A163" s="7" t="s">
        <v>9</v>
      </c>
      <c r="B163" s="6" t="s">
        <v>23</v>
      </c>
    </row>
    <row r="164" spans="1:2" hidden="1" outlineLevel="1">
      <c r="A164" s="7" t="s">
        <v>49</v>
      </c>
      <c r="B164" s="6" t="s">
        <v>72</v>
      </c>
    </row>
    <row r="165" spans="1:2" hidden="1" outlineLevel="1">
      <c r="A165" s="7" t="s">
        <v>25</v>
      </c>
      <c r="B165" s="6" t="s">
        <v>233</v>
      </c>
    </row>
    <row r="166" spans="1:2" hidden="1" outlineLevel="1">
      <c r="A166" s="7" t="s">
        <v>15</v>
      </c>
      <c r="B166">
        <v>0</v>
      </c>
    </row>
    <row r="167" spans="1:2" hidden="1" outlineLevel="1">
      <c r="A167" s="7" t="s">
        <v>17</v>
      </c>
      <c r="B167" s="6" t="s">
        <v>272</v>
      </c>
    </row>
    <row r="168" spans="1:2" hidden="1" outlineLevel="1">
      <c r="A168" s="7" t="s">
        <v>27</v>
      </c>
      <c r="B168" s="6" t="s">
        <v>73</v>
      </c>
    </row>
    <row r="169" spans="1:2" hidden="1" outlineLevel="1">
      <c r="A169" s="7" t="s">
        <v>19</v>
      </c>
      <c r="B169" s="6" t="s">
        <v>66</v>
      </c>
    </row>
    <row r="170" spans="1:2" collapsed="1">
      <c r="A170" s="26" t="s">
        <v>273</v>
      </c>
      <c r="B170" s="26"/>
    </row>
    <row r="171" spans="1:2" hidden="1" outlineLevel="1">
      <c r="A171" s="7" t="s">
        <v>1</v>
      </c>
      <c r="B171" s="9" t="s">
        <v>274</v>
      </c>
    </row>
    <row r="172" spans="1:2" hidden="1" outlineLevel="1">
      <c r="A172" s="7" t="s">
        <v>4</v>
      </c>
      <c r="B172" s="6">
        <v>200</v>
      </c>
    </row>
    <row r="173" spans="1:2" hidden="1" outlineLevel="1">
      <c r="A173" s="7" t="s">
        <v>5</v>
      </c>
      <c r="B173" s="6" t="s">
        <v>22</v>
      </c>
    </row>
    <row r="174" spans="1:2" hidden="1" outlineLevel="1">
      <c r="A174" s="7" t="s">
        <v>7</v>
      </c>
      <c r="B174" s="6" t="s">
        <v>30</v>
      </c>
    </row>
    <row r="175" spans="1:2" hidden="1" outlineLevel="1">
      <c r="A175" s="7" t="s">
        <v>9</v>
      </c>
      <c r="B175" s="6" t="s">
        <v>110</v>
      </c>
    </row>
    <row r="176" spans="1:2" hidden="1" outlineLevel="1">
      <c r="A176" s="7" t="s">
        <v>11</v>
      </c>
      <c r="B176" s="6" t="s">
        <v>101</v>
      </c>
    </row>
    <row r="177" spans="1:2" hidden="1" outlineLevel="1">
      <c r="A177" s="7" t="s">
        <v>13</v>
      </c>
      <c r="B177" s="6" t="s">
        <v>63</v>
      </c>
    </row>
    <row r="178" spans="1:2" hidden="1" outlineLevel="1">
      <c r="A178" s="7" t="s">
        <v>15</v>
      </c>
      <c r="B178" s="6" t="s">
        <v>66</v>
      </c>
    </row>
    <row r="179" spans="1:2" hidden="1" outlineLevel="1">
      <c r="A179" s="7" t="s">
        <v>17</v>
      </c>
      <c r="B179" s="6" t="s">
        <v>22</v>
      </c>
    </row>
    <row r="180" spans="1:2" hidden="1" outlineLevel="1">
      <c r="A180" s="7" t="s">
        <v>18</v>
      </c>
      <c r="B180" s="6" t="s">
        <v>66</v>
      </c>
    </row>
    <row r="181" spans="1:2" hidden="1" outlineLevel="1">
      <c r="A181" s="7" t="s">
        <v>19</v>
      </c>
      <c r="B181" s="6" t="s">
        <v>53</v>
      </c>
    </row>
    <row r="182" spans="1:2" collapsed="1">
      <c r="A182" s="26" t="s">
        <v>275</v>
      </c>
      <c r="B182" s="26"/>
    </row>
    <row r="183" spans="1:2" hidden="1" outlineLevel="1">
      <c r="A183" s="7" t="s">
        <v>1</v>
      </c>
      <c r="B183" s="9" t="s">
        <v>274</v>
      </c>
    </row>
    <row r="184" spans="1:2" hidden="1" outlineLevel="1">
      <c r="A184" s="7" t="s">
        <v>4</v>
      </c>
      <c r="B184" s="6">
        <v>210</v>
      </c>
    </row>
    <row r="185" spans="1:2" hidden="1" outlineLevel="1">
      <c r="A185" s="7" t="s">
        <v>5</v>
      </c>
      <c r="B185" s="6" t="s">
        <v>39</v>
      </c>
    </row>
    <row r="186" spans="1:2" hidden="1" outlineLevel="1">
      <c r="A186" s="7" t="s">
        <v>7</v>
      </c>
      <c r="B186" s="6" t="s">
        <v>75</v>
      </c>
    </row>
    <row r="187" spans="1:2" hidden="1" outlineLevel="1">
      <c r="A187" s="7" t="s">
        <v>9</v>
      </c>
      <c r="B187" s="6" t="s">
        <v>276</v>
      </c>
    </row>
    <row r="188" spans="1:2" hidden="1" outlineLevel="1">
      <c r="A188" s="7" t="s">
        <v>11</v>
      </c>
      <c r="B188" s="6" t="s">
        <v>95</v>
      </c>
    </row>
    <row r="189" spans="1:2" hidden="1" outlineLevel="1">
      <c r="A189" s="7" t="s">
        <v>13</v>
      </c>
      <c r="B189" s="6" t="s">
        <v>63</v>
      </c>
    </row>
    <row r="190" spans="1:2" hidden="1" outlineLevel="1">
      <c r="A190" s="7" t="s">
        <v>15</v>
      </c>
      <c r="B190" s="6" t="s">
        <v>14</v>
      </c>
    </row>
    <row r="191" spans="1:2" hidden="1" outlineLevel="1">
      <c r="A191" s="7" t="s">
        <v>17</v>
      </c>
      <c r="B191" s="6" t="s">
        <v>37</v>
      </c>
    </row>
    <row r="192" spans="1:2" hidden="1" outlineLevel="1">
      <c r="A192" s="7" t="s">
        <v>18</v>
      </c>
      <c r="B192" s="6" t="s">
        <v>66</v>
      </c>
    </row>
    <row r="193" spans="1:2" hidden="1" outlineLevel="1">
      <c r="A193" s="7" t="s">
        <v>19</v>
      </c>
      <c r="B193" s="6" t="s">
        <v>277</v>
      </c>
    </row>
    <row r="194" spans="1:2" collapsed="1">
      <c r="A194" s="26" t="s">
        <v>278</v>
      </c>
      <c r="B194" s="26"/>
    </row>
    <row r="195" spans="1:2" hidden="1" outlineLevel="1">
      <c r="A195" s="7" t="s">
        <v>1</v>
      </c>
      <c r="B195" s="9" t="s">
        <v>274</v>
      </c>
    </row>
    <row r="196" spans="1:2" hidden="1" outlineLevel="1">
      <c r="A196" s="7" t="s">
        <v>4</v>
      </c>
      <c r="B196" s="6">
        <v>200</v>
      </c>
    </row>
    <row r="197" spans="1:2" hidden="1" outlineLevel="1">
      <c r="A197" s="7" t="s">
        <v>5</v>
      </c>
      <c r="B197" s="6" t="s">
        <v>29</v>
      </c>
    </row>
    <row r="198" spans="1:2" hidden="1" outlineLevel="1">
      <c r="A198" s="7" t="s">
        <v>7</v>
      </c>
      <c r="B198" s="6" t="s">
        <v>6</v>
      </c>
    </row>
    <row r="199" spans="1:2" hidden="1" outlineLevel="1">
      <c r="A199" s="7" t="s">
        <v>9</v>
      </c>
      <c r="B199" s="6" t="s">
        <v>276</v>
      </c>
    </row>
    <row r="200" spans="1:2" hidden="1" outlineLevel="1">
      <c r="A200" s="7" t="s">
        <v>11</v>
      </c>
      <c r="B200" s="6" t="s">
        <v>124</v>
      </c>
    </row>
    <row r="201" spans="1:2" hidden="1" outlineLevel="1">
      <c r="A201" s="7" t="s">
        <v>13</v>
      </c>
      <c r="B201" s="6" t="s">
        <v>63</v>
      </c>
    </row>
    <row r="202" spans="1:2" hidden="1" outlineLevel="1">
      <c r="A202" s="7" t="s">
        <v>15</v>
      </c>
      <c r="B202" s="6" t="s">
        <v>66</v>
      </c>
    </row>
    <row r="203" spans="1:2" hidden="1" outlineLevel="1">
      <c r="A203" s="7" t="s">
        <v>17</v>
      </c>
      <c r="B203" s="6" t="s">
        <v>22</v>
      </c>
    </row>
    <row r="204" spans="1:2" hidden="1" outlineLevel="1">
      <c r="A204" s="7" t="s">
        <v>18</v>
      </c>
      <c r="B204" s="6" t="s">
        <v>66</v>
      </c>
    </row>
    <row r="205" spans="1:2" hidden="1" outlineLevel="1">
      <c r="A205" s="7" t="s">
        <v>19</v>
      </c>
      <c r="B205" s="6" t="s">
        <v>53</v>
      </c>
    </row>
    <row r="206" spans="1:2" collapsed="1">
      <c r="A206" s="27" t="s">
        <v>279</v>
      </c>
      <c r="B206" s="27"/>
    </row>
    <row r="207" spans="1:2" hidden="1" outlineLevel="1">
      <c r="A207" t="s">
        <v>1</v>
      </c>
      <c r="B207" s="5" t="s">
        <v>280</v>
      </c>
    </row>
    <row r="208" spans="1:2" hidden="1" outlineLevel="1">
      <c r="A208" t="s">
        <v>4</v>
      </c>
      <c r="B208">
        <v>160</v>
      </c>
    </row>
    <row r="209" spans="1:2" hidden="1" outlineLevel="1">
      <c r="A209" t="s">
        <v>5</v>
      </c>
      <c r="B209" s="3" t="s">
        <v>22</v>
      </c>
    </row>
    <row r="210" spans="1:2" hidden="1" outlineLevel="1">
      <c r="A210" t="s">
        <v>7</v>
      </c>
      <c r="B210" s="3" t="s">
        <v>8</v>
      </c>
    </row>
    <row r="211" spans="1:2" hidden="1" outlineLevel="1">
      <c r="A211" t="s">
        <v>9</v>
      </c>
      <c r="B211" s="3" t="s">
        <v>215</v>
      </c>
    </row>
    <row r="212" spans="1:2" hidden="1" outlineLevel="1">
      <c r="A212" t="s">
        <v>49</v>
      </c>
      <c r="B212" s="3" t="s">
        <v>50</v>
      </c>
    </row>
    <row r="213" spans="1:2" hidden="1" outlineLevel="1">
      <c r="A213" t="s">
        <v>25</v>
      </c>
      <c r="B213" s="3" t="s">
        <v>37</v>
      </c>
    </row>
    <row r="214" spans="1:2" hidden="1" outlineLevel="1">
      <c r="A214" t="s">
        <v>15</v>
      </c>
      <c r="B214" s="3" t="s">
        <v>14</v>
      </c>
    </row>
    <row r="215" spans="1:2" hidden="1" outlineLevel="1">
      <c r="A215" t="s">
        <v>17</v>
      </c>
      <c r="B215" s="3" t="s">
        <v>14</v>
      </c>
    </row>
    <row r="216" spans="1:2" hidden="1" outlineLevel="1">
      <c r="A216" t="s">
        <v>27</v>
      </c>
      <c r="B216" s="3" t="s">
        <v>66</v>
      </c>
    </row>
    <row r="217" spans="1:2" hidden="1" outlineLevel="1">
      <c r="A217" t="s">
        <v>19</v>
      </c>
      <c r="B217" s="3" t="s">
        <v>277</v>
      </c>
    </row>
    <row r="218" spans="1:2" collapsed="1">
      <c r="A218" s="26" t="s">
        <v>281</v>
      </c>
      <c r="B218" s="26"/>
    </row>
    <row r="219" spans="1:2" hidden="1" outlineLevel="1">
      <c r="A219" s="7" t="s">
        <v>1</v>
      </c>
      <c r="B219" s="9" t="s">
        <v>280</v>
      </c>
    </row>
    <row r="220" spans="1:2" hidden="1" outlineLevel="1">
      <c r="A220" s="7" t="s">
        <v>4</v>
      </c>
      <c r="B220" s="6">
        <v>160</v>
      </c>
    </row>
    <row r="221" spans="1:2" hidden="1" outlineLevel="1">
      <c r="A221" s="7" t="s">
        <v>5</v>
      </c>
      <c r="B221" s="6" t="s">
        <v>22</v>
      </c>
    </row>
    <row r="222" spans="1:2" hidden="1" outlineLevel="1">
      <c r="A222" s="7" t="s">
        <v>7</v>
      </c>
      <c r="B222" s="6" t="s">
        <v>8</v>
      </c>
    </row>
    <row r="223" spans="1:2" hidden="1" outlineLevel="1">
      <c r="A223" s="7" t="s">
        <v>9</v>
      </c>
      <c r="B223" s="6" t="s">
        <v>215</v>
      </c>
    </row>
    <row r="224" spans="1:2" hidden="1" outlineLevel="1">
      <c r="A224" s="7" t="s">
        <v>49</v>
      </c>
      <c r="B224" s="6" t="s">
        <v>50</v>
      </c>
    </row>
    <row r="225" spans="1:2" hidden="1" outlineLevel="1">
      <c r="A225" s="7" t="s">
        <v>25</v>
      </c>
      <c r="B225" s="6" t="s">
        <v>37</v>
      </c>
    </row>
    <row r="226" spans="1:2" hidden="1" outlineLevel="1">
      <c r="A226" s="7" t="s">
        <v>15</v>
      </c>
      <c r="B226" s="6" t="s">
        <v>14</v>
      </c>
    </row>
    <row r="227" spans="1:2" hidden="1" outlineLevel="1">
      <c r="A227" s="7" t="s">
        <v>17</v>
      </c>
      <c r="B227" s="6" t="s">
        <v>14</v>
      </c>
    </row>
    <row r="228" spans="1:2" hidden="1" outlineLevel="1">
      <c r="A228" s="7" t="s">
        <v>27</v>
      </c>
      <c r="B228" s="6" t="s">
        <v>66</v>
      </c>
    </row>
    <row r="229" spans="1:2" hidden="1" outlineLevel="1">
      <c r="A229" s="7" t="s">
        <v>19</v>
      </c>
      <c r="B229" s="6" t="s">
        <v>277</v>
      </c>
    </row>
    <row r="230" spans="1:2" collapsed="1">
      <c r="A230" s="27" t="s">
        <v>282</v>
      </c>
      <c r="B230" s="27"/>
    </row>
    <row r="231" spans="1:2" hidden="1" outlineLevel="1">
      <c r="A231" t="s">
        <v>1</v>
      </c>
      <c r="B231" s="5" t="s">
        <v>280</v>
      </c>
    </row>
    <row r="232" spans="1:2" hidden="1" outlineLevel="1">
      <c r="A232" t="s">
        <v>4</v>
      </c>
      <c r="B232" s="3">
        <v>160</v>
      </c>
    </row>
    <row r="233" spans="1:2" hidden="1" outlineLevel="1">
      <c r="A233" t="s">
        <v>5</v>
      </c>
      <c r="B233" s="3" t="s">
        <v>22</v>
      </c>
    </row>
    <row r="234" spans="1:2" hidden="1" outlineLevel="1">
      <c r="A234" t="s">
        <v>7</v>
      </c>
      <c r="B234" s="3" t="s">
        <v>8</v>
      </c>
    </row>
    <row r="235" spans="1:2" hidden="1" outlineLevel="1">
      <c r="A235" t="s">
        <v>9</v>
      </c>
      <c r="B235" s="3" t="s">
        <v>215</v>
      </c>
    </row>
    <row r="236" spans="1:2" hidden="1" outlineLevel="1">
      <c r="A236" t="s">
        <v>49</v>
      </c>
      <c r="B236" s="3" t="s">
        <v>69</v>
      </c>
    </row>
    <row r="237" spans="1:2" hidden="1" outlineLevel="1">
      <c r="A237" t="s">
        <v>25</v>
      </c>
      <c r="B237" s="3" t="s">
        <v>39</v>
      </c>
    </row>
    <row r="238" spans="1:2" hidden="1" outlineLevel="1">
      <c r="A238" t="s">
        <v>15</v>
      </c>
      <c r="B238" s="3" t="s">
        <v>22</v>
      </c>
    </row>
    <row r="239" spans="1:2" hidden="1" outlineLevel="1">
      <c r="A239" t="s">
        <v>17</v>
      </c>
      <c r="B239" s="3" t="s">
        <v>14</v>
      </c>
    </row>
    <row r="240" spans="1:2" hidden="1" outlineLevel="1">
      <c r="A240" t="s">
        <v>27</v>
      </c>
      <c r="B240" s="3" t="s">
        <v>66</v>
      </c>
    </row>
    <row r="241" spans="1:2" hidden="1" outlineLevel="1">
      <c r="A241" t="s">
        <v>19</v>
      </c>
      <c r="B241" s="3" t="s">
        <v>277</v>
      </c>
    </row>
    <row r="242" spans="1:2" collapsed="1">
      <c r="A242" s="27" t="s">
        <v>283</v>
      </c>
      <c r="B242" s="27"/>
    </row>
    <row r="243" spans="1:2" hidden="1" outlineLevel="1">
      <c r="A243" t="s">
        <v>1</v>
      </c>
      <c r="B243" s="5" t="s">
        <v>284</v>
      </c>
    </row>
    <row r="244" spans="1:2" hidden="1" outlineLevel="1">
      <c r="A244" t="s">
        <v>4</v>
      </c>
      <c r="B244" s="3">
        <v>80</v>
      </c>
    </row>
    <row r="245" spans="1:2" hidden="1" outlineLevel="1">
      <c r="A245" t="s">
        <v>5</v>
      </c>
      <c r="B245" s="3" t="s">
        <v>66</v>
      </c>
    </row>
    <row r="246" spans="1:2" hidden="1" outlineLevel="1">
      <c r="A246" t="s">
        <v>7</v>
      </c>
      <c r="B246" s="3" t="s">
        <v>66</v>
      </c>
    </row>
    <row r="247" spans="1:2" hidden="1" outlineLevel="1">
      <c r="A247" t="s">
        <v>9</v>
      </c>
      <c r="B247" s="3" t="s">
        <v>66</v>
      </c>
    </row>
    <row r="248" spans="1:2" hidden="1" outlineLevel="1">
      <c r="A248" t="s">
        <v>49</v>
      </c>
      <c r="B248" s="3" t="s">
        <v>124</v>
      </c>
    </row>
    <row r="249" spans="1:2" hidden="1" outlineLevel="1">
      <c r="A249" t="s">
        <v>25</v>
      </c>
      <c r="B249" s="3" t="s">
        <v>105</v>
      </c>
    </row>
    <row r="250" spans="1:2" hidden="1" outlineLevel="1">
      <c r="A250" t="s">
        <v>15</v>
      </c>
      <c r="B250" s="3" t="s">
        <v>66</v>
      </c>
    </row>
    <row r="251" spans="1:2" hidden="1" outlineLevel="1">
      <c r="A251" t="s">
        <v>17</v>
      </c>
      <c r="B251" s="3" t="s">
        <v>92</v>
      </c>
    </row>
    <row r="252" spans="1:2" hidden="1" outlineLevel="1">
      <c r="A252" t="s">
        <v>27</v>
      </c>
      <c r="B252" s="3" t="s">
        <v>92</v>
      </c>
    </row>
    <row r="253" spans="1:2" hidden="1" outlineLevel="1">
      <c r="A253" t="s">
        <v>19</v>
      </c>
      <c r="B253" s="3" t="s">
        <v>66</v>
      </c>
    </row>
    <row r="254" spans="1:2" collapsed="1">
      <c r="A254" s="27" t="s">
        <v>285</v>
      </c>
      <c r="B254" s="27"/>
    </row>
    <row r="255" spans="1:2" hidden="1" outlineLevel="1">
      <c r="A255" t="s">
        <v>1</v>
      </c>
      <c r="B255" s="5" t="s">
        <v>284</v>
      </c>
    </row>
    <row r="256" spans="1:2" hidden="1" outlineLevel="1">
      <c r="A256" t="s">
        <v>4</v>
      </c>
      <c r="B256" s="3">
        <v>80</v>
      </c>
    </row>
    <row r="257" spans="1:2" hidden="1" outlineLevel="1">
      <c r="A257" t="s">
        <v>5</v>
      </c>
      <c r="B257" s="3" t="s">
        <v>66</v>
      </c>
    </row>
    <row r="258" spans="1:2" hidden="1" outlineLevel="1">
      <c r="A258" t="s">
        <v>7</v>
      </c>
      <c r="B258" s="3" t="s">
        <v>66</v>
      </c>
    </row>
    <row r="259" spans="1:2" hidden="1" outlineLevel="1">
      <c r="A259" t="s">
        <v>9</v>
      </c>
      <c r="B259" s="3" t="s">
        <v>66</v>
      </c>
    </row>
    <row r="260" spans="1:2" hidden="1" outlineLevel="1">
      <c r="A260" t="s">
        <v>49</v>
      </c>
      <c r="B260" s="3" t="s">
        <v>124</v>
      </c>
    </row>
    <row r="261" spans="1:2" hidden="1" outlineLevel="1">
      <c r="A261" t="s">
        <v>25</v>
      </c>
      <c r="B261" s="3" t="s">
        <v>105</v>
      </c>
    </row>
    <row r="262" spans="1:2" hidden="1" outlineLevel="1">
      <c r="A262" t="s">
        <v>15</v>
      </c>
      <c r="B262" s="3" t="s">
        <v>66</v>
      </c>
    </row>
    <row r="263" spans="1:2" hidden="1" outlineLevel="1">
      <c r="A263" t="s">
        <v>17</v>
      </c>
      <c r="B263" s="3" t="s">
        <v>92</v>
      </c>
    </row>
    <row r="264" spans="1:2" hidden="1" outlineLevel="1">
      <c r="A264" t="s">
        <v>27</v>
      </c>
      <c r="B264" s="3" t="s">
        <v>92</v>
      </c>
    </row>
    <row r="265" spans="1:2" hidden="1" outlineLevel="1">
      <c r="A265" t="s">
        <v>19</v>
      </c>
      <c r="B265" s="3" t="s">
        <v>66</v>
      </c>
    </row>
    <row r="266" spans="1:2" collapsed="1">
      <c r="A266" s="27" t="s">
        <v>286</v>
      </c>
      <c r="B266" s="27"/>
    </row>
    <row r="267" spans="1:2" hidden="1" outlineLevel="1">
      <c r="A267" t="s">
        <v>1</v>
      </c>
      <c r="B267" s="5" t="s">
        <v>284</v>
      </c>
    </row>
    <row r="268" spans="1:2" hidden="1" outlineLevel="1">
      <c r="A268" t="s">
        <v>4</v>
      </c>
      <c r="B268" s="3">
        <v>80</v>
      </c>
    </row>
    <row r="269" spans="1:2" hidden="1" outlineLevel="1">
      <c r="A269" t="s">
        <v>5</v>
      </c>
      <c r="B269" s="3" t="s">
        <v>66</v>
      </c>
    </row>
    <row r="270" spans="1:2" hidden="1" outlineLevel="1">
      <c r="A270" t="s">
        <v>7</v>
      </c>
      <c r="B270" s="3" t="s">
        <v>66</v>
      </c>
    </row>
    <row r="271" spans="1:2" hidden="1" outlineLevel="1">
      <c r="A271" t="s">
        <v>9</v>
      </c>
      <c r="B271" s="3" t="s">
        <v>66</v>
      </c>
    </row>
    <row r="272" spans="1:2" hidden="1" outlineLevel="1">
      <c r="A272" t="s">
        <v>49</v>
      </c>
      <c r="B272" s="3" t="s">
        <v>124</v>
      </c>
    </row>
    <row r="273" spans="1:2" hidden="1" outlineLevel="1">
      <c r="A273" t="s">
        <v>25</v>
      </c>
      <c r="B273" s="3" t="s">
        <v>105</v>
      </c>
    </row>
    <row r="274" spans="1:2" hidden="1" outlineLevel="1">
      <c r="A274" t="s">
        <v>15</v>
      </c>
      <c r="B274" s="3" t="s">
        <v>66</v>
      </c>
    </row>
    <row r="275" spans="1:2" hidden="1" outlineLevel="1">
      <c r="A275" t="s">
        <v>17</v>
      </c>
      <c r="B275" s="3" t="s">
        <v>92</v>
      </c>
    </row>
    <row r="276" spans="1:2" hidden="1" outlineLevel="1">
      <c r="A276" t="s">
        <v>27</v>
      </c>
      <c r="B276" s="3" t="s">
        <v>92</v>
      </c>
    </row>
    <row r="277" spans="1:2" hidden="1" outlineLevel="1">
      <c r="A277" t="s">
        <v>19</v>
      </c>
      <c r="B277" s="3" t="s">
        <v>66</v>
      </c>
    </row>
    <row r="278" spans="1:2" collapsed="1">
      <c r="A278" s="27" t="s">
        <v>287</v>
      </c>
      <c r="B278" s="27"/>
    </row>
    <row r="279" spans="1:2" hidden="1" outlineLevel="1">
      <c r="A279" t="s">
        <v>1</v>
      </c>
      <c r="B279" s="5" t="s">
        <v>284</v>
      </c>
    </row>
    <row r="280" spans="1:2" hidden="1" outlineLevel="1">
      <c r="A280" t="s">
        <v>4</v>
      </c>
      <c r="B280" s="3">
        <v>80</v>
      </c>
    </row>
    <row r="281" spans="1:2" hidden="1" outlineLevel="1">
      <c r="A281" t="s">
        <v>5</v>
      </c>
      <c r="B281" s="3" t="s">
        <v>66</v>
      </c>
    </row>
    <row r="282" spans="1:2" hidden="1" outlineLevel="1">
      <c r="A282" t="s">
        <v>7</v>
      </c>
      <c r="B282" s="3" t="s">
        <v>66</v>
      </c>
    </row>
    <row r="283" spans="1:2" hidden="1" outlineLevel="1">
      <c r="A283" t="s">
        <v>9</v>
      </c>
      <c r="B283" s="3" t="s">
        <v>66</v>
      </c>
    </row>
    <row r="284" spans="1:2" hidden="1" outlineLevel="1">
      <c r="A284" t="s">
        <v>49</v>
      </c>
      <c r="B284" s="3" t="s">
        <v>124</v>
      </c>
    </row>
    <row r="285" spans="1:2" hidden="1" outlineLevel="1">
      <c r="A285" t="s">
        <v>25</v>
      </c>
      <c r="B285" s="3" t="s">
        <v>105</v>
      </c>
    </row>
    <row r="286" spans="1:2" hidden="1" outlineLevel="1">
      <c r="A286" t="s">
        <v>15</v>
      </c>
      <c r="B286" s="3" t="s">
        <v>66</v>
      </c>
    </row>
    <row r="287" spans="1:2" hidden="1" outlineLevel="1">
      <c r="A287" t="s">
        <v>17</v>
      </c>
      <c r="B287" s="3" t="s">
        <v>92</v>
      </c>
    </row>
    <row r="288" spans="1:2" hidden="1" outlineLevel="1">
      <c r="A288" t="s">
        <v>27</v>
      </c>
      <c r="B288" s="3" t="s">
        <v>92</v>
      </c>
    </row>
    <row r="289" spans="1:2" hidden="1" outlineLevel="1">
      <c r="A289" t="s">
        <v>19</v>
      </c>
      <c r="B289" s="3" t="s">
        <v>66</v>
      </c>
    </row>
    <row r="290" spans="1:2" collapsed="1">
      <c r="A290" s="27" t="s">
        <v>288</v>
      </c>
      <c r="B290" s="27"/>
    </row>
    <row r="291" spans="1:2" hidden="1" outlineLevel="1">
      <c r="A291" t="s">
        <v>1</v>
      </c>
      <c r="B291" s="5" t="s">
        <v>289</v>
      </c>
    </row>
    <row r="292" spans="1:2" hidden="1" outlineLevel="1">
      <c r="A292" t="s">
        <v>4</v>
      </c>
      <c r="B292" s="3">
        <v>80</v>
      </c>
    </row>
    <row r="293" spans="1:2" hidden="1" outlineLevel="1">
      <c r="A293" t="s">
        <v>5</v>
      </c>
      <c r="B293" s="3" t="s">
        <v>66</v>
      </c>
    </row>
    <row r="294" spans="1:2" hidden="1" outlineLevel="1">
      <c r="A294" t="s">
        <v>7</v>
      </c>
      <c r="B294" s="3" t="s">
        <v>66</v>
      </c>
    </row>
    <row r="295" spans="1:2" hidden="1" outlineLevel="1">
      <c r="A295" t="s">
        <v>9</v>
      </c>
      <c r="B295" s="3" t="s">
        <v>66</v>
      </c>
    </row>
    <row r="296" spans="1:2" hidden="1" outlineLevel="1">
      <c r="A296" t="s">
        <v>49</v>
      </c>
      <c r="B296" s="3" t="s">
        <v>124</v>
      </c>
    </row>
    <row r="297" spans="1:2" hidden="1" outlineLevel="1">
      <c r="A297" t="s">
        <v>25</v>
      </c>
      <c r="B297" s="3" t="s">
        <v>105</v>
      </c>
    </row>
    <row r="298" spans="1:2" hidden="1" outlineLevel="1">
      <c r="A298" t="s">
        <v>15</v>
      </c>
      <c r="B298" s="3" t="s">
        <v>66</v>
      </c>
    </row>
    <row r="299" spans="1:2" hidden="1" outlineLevel="1">
      <c r="A299" t="s">
        <v>17</v>
      </c>
      <c r="B299" s="3" t="s">
        <v>92</v>
      </c>
    </row>
    <row r="300" spans="1:2" hidden="1" outlineLevel="1">
      <c r="A300" t="s">
        <v>27</v>
      </c>
      <c r="B300" s="3" t="s">
        <v>92</v>
      </c>
    </row>
    <row r="301" spans="1:2" hidden="1" outlineLevel="1">
      <c r="A301" t="s">
        <v>19</v>
      </c>
      <c r="B301" s="3" t="s">
        <v>66</v>
      </c>
    </row>
    <row r="302" spans="1:2" collapsed="1">
      <c r="A302" s="27" t="s">
        <v>290</v>
      </c>
      <c r="B302" s="27"/>
    </row>
    <row r="303" spans="1:2" hidden="1" outlineLevel="1">
      <c r="A303" t="s">
        <v>1</v>
      </c>
      <c r="B303" s="5" t="s">
        <v>289</v>
      </c>
    </row>
    <row r="304" spans="1:2" hidden="1" outlineLevel="1">
      <c r="A304" t="s">
        <v>4</v>
      </c>
      <c r="B304" s="3">
        <v>80</v>
      </c>
    </row>
    <row r="305" spans="1:2" hidden="1" outlineLevel="1">
      <c r="A305" t="s">
        <v>5</v>
      </c>
      <c r="B305" s="3" t="s">
        <v>66</v>
      </c>
    </row>
    <row r="306" spans="1:2" hidden="1" outlineLevel="1">
      <c r="A306" t="s">
        <v>7</v>
      </c>
      <c r="B306" s="3" t="s">
        <v>66</v>
      </c>
    </row>
    <row r="307" spans="1:2" hidden="1" outlineLevel="1">
      <c r="A307" t="s">
        <v>9</v>
      </c>
      <c r="B307" s="3" t="s">
        <v>66</v>
      </c>
    </row>
    <row r="308" spans="1:2" hidden="1" outlineLevel="1">
      <c r="A308" t="s">
        <v>49</v>
      </c>
      <c r="B308" s="3" t="s">
        <v>124</v>
      </c>
    </row>
    <row r="309" spans="1:2" hidden="1" outlineLevel="1">
      <c r="A309" t="s">
        <v>25</v>
      </c>
      <c r="B309" s="3" t="s">
        <v>105</v>
      </c>
    </row>
    <row r="310" spans="1:2" hidden="1" outlineLevel="1">
      <c r="A310" t="s">
        <v>15</v>
      </c>
      <c r="B310" s="3" t="s">
        <v>66</v>
      </c>
    </row>
    <row r="311" spans="1:2" hidden="1" outlineLevel="1">
      <c r="A311" t="s">
        <v>17</v>
      </c>
      <c r="B311" s="3" t="s">
        <v>92</v>
      </c>
    </row>
    <row r="312" spans="1:2" hidden="1" outlineLevel="1">
      <c r="A312" t="s">
        <v>27</v>
      </c>
      <c r="B312" s="3" t="s">
        <v>92</v>
      </c>
    </row>
    <row r="313" spans="1:2" hidden="1" outlineLevel="1">
      <c r="A313" t="s">
        <v>19</v>
      </c>
      <c r="B313" s="3" t="s">
        <v>66</v>
      </c>
    </row>
    <row r="314" spans="1:2" collapsed="1"/>
  </sheetData>
  <mergeCells count="26">
    <mergeCell ref="A302:B302"/>
    <mergeCell ref="A242:B242"/>
    <mergeCell ref="A254:B254"/>
    <mergeCell ref="A266:B266"/>
    <mergeCell ref="A278:B278"/>
    <mergeCell ref="A290:B290"/>
    <mergeCell ref="A158:B158"/>
    <mergeCell ref="A98:B98"/>
    <mergeCell ref="A146:B146"/>
    <mergeCell ref="A1:B1"/>
    <mergeCell ref="A13:B13"/>
    <mergeCell ref="A110:B110"/>
    <mergeCell ref="A86:B86"/>
    <mergeCell ref="A74:B74"/>
    <mergeCell ref="A25:B25"/>
    <mergeCell ref="A37:B37"/>
    <mergeCell ref="A50:B50"/>
    <mergeCell ref="A62:B62"/>
    <mergeCell ref="A134:B134"/>
    <mergeCell ref="A122:B122"/>
    <mergeCell ref="A230:B230"/>
    <mergeCell ref="A170:B170"/>
    <mergeCell ref="A182:B182"/>
    <mergeCell ref="A194:B194"/>
    <mergeCell ref="A206:B206"/>
    <mergeCell ref="A218:B218"/>
  </mergeCells>
  <phoneticPr fontId="2" type="noConversion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30020-6072-43C2-9D78-9888D940C118}">
  <sheetPr codeName="Sheet6"/>
  <dimension ref="A1:F85"/>
  <sheetViews>
    <sheetView zoomScale="115" zoomScaleNormal="115" workbookViewId="0">
      <selection activeCell="D75" sqref="D75"/>
    </sheetView>
  </sheetViews>
  <sheetFormatPr defaultRowHeight="15" outlineLevelRow="1"/>
  <cols>
    <col min="1" max="1" width="28.7109375" customWidth="1"/>
    <col min="2" max="2" width="26.5703125" customWidth="1"/>
    <col min="3" max="3" width="13" customWidth="1"/>
    <col min="4" max="4" width="15.85546875" bestFit="1" customWidth="1"/>
    <col min="5" max="5" width="17" customWidth="1"/>
  </cols>
  <sheetData>
    <row r="1" spans="1:5">
      <c r="A1" s="26" t="s">
        <v>291</v>
      </c>
      <c r="B1" s="26"/>
      <c r="C1" s="2"/>
      <c r="D1" s="2"/>
      <c r="E1" s="2"/>
    </row>
    <row r="2" spans="1:5" outlineLevel="1">
      <c r="A2" s="7" t="s">
        <v>1</v>
      </c>
      <c r="B2" s="9" t="s">
        <v>292</v>
      </c>
      <c r="C2" s="8" t="s">
        <v>293</v>
      </c>
      <c r="D2" s="8" t="s">
        <v>294</v>
      </c>
      <c r="E2" s="8" t="s">
        <v>295</v>
      </c>
    </row>
    <row r="3" spans="1:5" outlineLevel="1">
      <c r="A3" s="7" t="s">
        <v>4</v>
      </c>
      <c r="B3" s="6">
        <v>70</v>
      </c>
      <c r="C3" s="3">
        <f>(B3*2)</f>
        <v>140</v>
      </c>
      <c r="D3" s="3">
        <f>(B3*3)</f>
        <v>210</v>
      </c>
      <c r="E3" s="3">
        <f>(B3*4)</f>
        <v>280</v>
      </c>
    </row>
    <row r="4" spans="1:5" outlineLevel="1">
      <c r="A4" s="7" t="s">
        <v>5</v>
      </c>
      <c r="B4" s="6" t="s">
        <v>39</v>
      </c>
      <c r="C4" s="3" t="str">
        <f>SUM(IF(ISNUMBER( SEARCH("g",B4)), LEFT(B4, LEN(B4)-1)*1, "")+(SUM(IF(ISNUMBER( SEARCH("g",B4)), LEFT(B4, LEN(B4)-1)*1, ""))))&amp;"g"</f>
        <v>10g</v>
      </c>
      <c r="D4" s="3" t="str">
        <f t="shared" ref="D4:E4" si="0">SUM(IF(ISNUMBER( SEARCH("g",C4)), LEFT(C4, LEN(C4)-1)*1, "")+(SUM(IF(ISNUMBER( SEARCH("g",C4)), LEFT(C4, LEN(C4)-1)*1, "")))/2)&amp;"g"</f>
        <v>15g</v>
      </c>
      <c r="E4" s="3" t="str">
        <f>SUM(IF(ISNUMBER( SEARCH("g",B4)), LEFT(B4, LEN(B4)-1)*1, "")*4)&amp;"g"</f>
        <v>20g</v>
      </c>
    </row>
    <row r="5" spans="1:5" outlineLevel="1">
      <c r="A5" s="7" t="s">
        <v>7</v>
      </c>
      <c r="B5" s="6" t="s">
        <v>30</v>
      </c>
      <c r="C5" s="3" t="str">
        <f>SUM(IF(ISNUMBER( SEARCH("g",B5)), LEFT(B5, LEN(B5)-1)*1, "")*2)&amp;"mg"</f>
        <v>3mg</v>
      </c>
      <c r="D5" s="3" t="str">
        <f>SUM(IF(ISNUMBER( SEARCH("g",B5)), LEFT(B5, LEN(B5)-1)*1, "")*3)&amp;"g"</f>
        <v>4.5g</v>
      </c>
      <c r="E5" s="3" t="str">
        <f>SUM(IF(ISNUMBER( SEARCH("g",B5)), LEFT(B5, LEN(B5)-1)*1, "")*4)&amp;"g"</f>
        <v>6g</v>
      </c>
    </row>
    <row r="6" spans="1:5" outlineLevel="1">
      <c r="A6" s="7" t="s">
        <v>9</v>
      </c>
      <c r="B6" s="6" t="s">
        <v>296</v>
      </c>
      <c r="C6" s="3" t="str">
        <f>SUM(IF(ISNUMBER( SEARCH("mg",B6)), LEFT(B6, LEN(B6)-2)*1, "")*2)&amp;"mg"</f>
        <v>370mg</v>
      </c>
      <c r="D6" s="3" t="str">
        <f>SUM(IF(ISNUMBER( SEARCH("mg",B6)), LEFT(B6, LEN(B6)-2)*1, "")*3)&amp;"mg"</f>
        <v>555mg</v>
      </c>
      <c r="E6" s="3" t="str">
        <f>SUM(IF(ISNUMBER( SEARCH("mg",B6)), LEFT(B6, LEN(B6)-2)*1, "")*4)&amp;"mg"</f>
        <v>740mg</v>
      </c>
    </row>
    <row r="7" spans="1:5" outlineLevel="1">
      <c r="A7" s="7" t="s">
        <v>49</v>
      </c>
      <c r="B7" s="6" t="s">
        <v>31</v>
      </c>
      <c r="C7" s="3" t="str">
        <f>SUM(IF(ISNUMBER( SEARCH("mg",B7)), LEFT(B7, LEN(B7)-2)*1, "")*2)&amp;"mg"</f>
        <v>140mg</v>
      </c>
      <c r="D7" s="3" t="str">
        <f>SUM(IF(ISNUMBER( SEARCH("mg",B7)), LEFT(B7, LEN(B7)-2)*1, "")*3)&amp;"mg"</f>
        <v>210mg</v>
      </c>
      <c r="E7" s="3" t="str">
        <f>SUM(IF(ISNUMBER( SEARCH("mg",B7)), LEFT(B7, LEN(B7)-2)*1, "")*4)&amp;"mg"</f>
        <v>280mg</v>
      </c>
    </row>
    <row r="8" spans="1:5" outlineLevel="1">
      <c r="A8" s="7" t="s">
        <v>297</v>
      </c>
      <c r="B8" s="6" t="s">
        <v>66</v>
      </c>
      <c r="C8" s="3" t="str">
        <f>SUM(IF(ISNUMBER( SEARCH("g",B8)), LEFT(B8, LEN(B8)-1)*1, "")*2)&amp;"g"</f>
        <v>0g</v>
      </c>
      <c r="D8" s="3" t="str">
        <f>SUM(IF(ISNUMBER( SEARCH("g",B8)), LEFT(B8, LEN(B8)-1)*1, "")*3)&amp;"g"</f>
        <v>0g</v>
      </c>
      <c r="E8" s="3" t="str">
        <f t="shared" ref="E8:E12" si="1">SUM(IF(ISNUMBER( SEARCH("g",B8)), LEFT(B8, LEN(B8)-1)*1, "")*4)&amp;"g"</f>
        <v>0g</v>
      </c>
    </row>
    <row r="9" spans="1:5" outlineLevel="1">
      <c r="A9" s="2" t="s">
        <v>15</v>
      </c>
      <c r="B9" s="6" t="s">
        <v>66</v>
      </c>
      <c r="C9" s="3" t="str">
        <f>SUM(IF(ISNUMBER( SEARCH("g",B9)), LEFT(B9, LEN(B9)-1)*1, "")*2)&amp;"g"</f>
        <v>0g</v>
      </c>
      <c r="D9" s="3" t="str">
        <f t="shared" ref="D9:D12" si="2">SUM(IF(ISNUMBER( SEARCH("g",B9)), LEFT(B9, LEN(B9)-1)*1, "")*3)&amp;"g"</f>
        <v>0g</v>
      </c>
      <c r="E9" s="3" t="str">
        <f t="shared" si="1"/>
        <v>0g</v>
      </c>
    </row>
    <row r="10" spans="1:5" outlineLevel="1">
      <c r="A10" s="2" t="s">
        <v>17</v>
      </c>
      <c r="B10" s="6" t="s">
        <v>66</v>
      </c>
      <c r="C10" s="3" t="str">
        <f>SUM(IF(ISNUMBER( SEARCH("g",B10)), LEFT(B10, LEN(B10)-1)*1, "")*2)&amp;"g"</f>
        <v>0g</v>
      </c>
      <c r="D10" s="3" t="str">
        <f t="shared" si="2"/>
        <v>0g</v>
      </c>
      <c r="E10" s="3" t="str">
        <f t="shared" si="1"/>
        <v>0g</v>
      </c>
    </row>
    <row r="11" spans="1:5" outlineLevel="1">
      <c r="A11" s="2" t="s">
        <v>27</v>
      </c>
      <c r="B11" s="6" t="s">
        <v>66</v>
      </c>
      <c r="C11" s="3" t="str">
        <f>SUM(IF(ISNUMBER( SEARCH("g",B11)), LEFT(B11, LEN(B11)-1)*1, "")*2)&amp;"g"</f>
        <v>0g</v>
      </c>
      <c r="D11" s="3" t="str">
        <f t="shared" si="2"/>
        <v>0g</v>
      </c>
      <c r="E11" s="3" t="str">
        <f t="shared" si="1"/>
        <v>0g</v>
      </c>
    </row>
    <row r="12" spans="1:5" outlineLevel="1">
      <c r="A12" s="7" t="s">
        <v>19</v>
      </c>
      <c r="B12" s="6" t="s">
        <v>56</v>
      </c>
      <c r="C12" s="3" t="str">
        <f>SUM(IF(ISNUMBER( SEARCH("g",B12)), LEFT(B12, LEN(B12)-1)*1, "")*2)&amp;"g"</f>
        <v>12g</v>
      </c>
      <c r="D12" s="3" t="str">
        <f t="shared" si="2"/>
        <v>18g</v>
      </c>
      <c r="E12" s="3" t="str">
        <f t="shared" si="1"/>
        <v>24g</v>
      </c>
    </row>
    <row r="13" spans="1:5">
      <c r="A13" s="26" t="s">
        <v>298</v>
      </c>
      <c r="B13" s="26"/>
      <c r="C13" s="7" t="s">
        <v>299</v>
      </c>
      <c r="D13" s="2"/>
      <c r="E13" s="2"/>
    </row>
    <row r="14" spans="1:5" hidden="1" outlineLevel="1">
      <c r="A14" s="7" t="s">
        <v>1</v>
      </c>
      <c r="B14" s="9" t="s">
        <v>134</v>
      </c>
      <c r="C14" s="9" t="s">
        <v>135</v>
      </c>
      <c r="D14" s="9" t="s">
        <v>300</v>
      </c>
      <c r="E14" s="2"/>
    </row>
    <row r="15" spans="1:5" hidden="1" outlineLevel="1">
      <c r="A15" s="7" t="s">
        <v>4</v>
      </c>
      <c r="B15" s="6">
        <v>90</v>
      </c>
      <c r="C15" s="3">
        <f>(B15*2)</f>
        <v>180</v>
      </c>
      <c r="D15" s="3">
        <f>(B15*3)</f>
        <v>270</v>
      </c>
      <c r="E15" s="2"/>
    </row>
    <row r="16" spans="1:5" hidden="1" outlineLevel="1">
      <c r="A16" s="7" t="s">
        <v>5</v>
      </c>
      <c r="B16" s="6" t="s">
        <v>122</v>
      </c>
      <c r="C16" s="3" t="str">
        <f t="shared" ref="C16:C17" si="3">SUM(IF(ISNUMBER( SEARCH("g",B16)), LEFT(B16, LEN(B16)-1)*1, "")*2)&amp;"g"</f>
        <v>20g</v>
      </c>
      <c r="D16" s="3" t="str">
        <f t="shared" ref="D16:D18" si="4">SUM(IF(ISNUMBER( SEARCH("g",B16)), LEFT(B16, LEN(B16)-1)*1, "")*3)&amp;"g"</f>
        <v>30g</v>
      </c>
      <c r="E16" s="2"/>
    </row>
    <row r="17" spans="1:5" hidden="1" outlineLevel="1">
      <c r="A17" s="7" t="s">
        <v>7</v>
      </c>
      <c r="B17" s="6" t="s">
        <v>30</v>
      </c>
      <c r="C17" s="3" t="str">
        <f t="shared" si="3"/>
        <v>3g</v>
      </c>
      <c r="D17" s="3" t="str">
        <f t="shared" si="4"/>
        <v>4.5g</v>
      </c>
      <c r="E17" s="2"/>
    </row>
    <row r="18" spans="1:5" hidden="1" outlineLevel="1">
      <c r="A18" s="7" t="s">
        <v>9</v>
      </c>
      <c r="B18" s="6" t="s">
        <v>90</v>
      </c>
      <c r="C18" s="3" t="str">
        <f t="shared" ref="C18:C19" si="5">SUM(IF(ISNUMBER( SEARCH("mg",B18)), LEFT(B18, LEN(B18)-2)*1, "")*2)&amp;"mg"</f>
        <v>10mg</v>
      </c>
      <c r="D18" s="3" t="str">
        <f>SUM(IF(ISNUMBER( SEARCH("mg",B18)), LEFT(B18, LEN(B18)-2)*1, "")*3)&amp;"mg"</f>
        <v>15mg</v>
      </c>
      <c r="E18" s="2"/>
    </row>
    <row r="19" spans="1:5" hidden="1" outlineLevel="1">
      <c r="A19" s="7" t="s">
        <v>11</v>
      </c>
      <c r="B19" s="6" t="s">
        <v>24</v>
      </c>
      <c r="C19" s="3" t="str">
        <f t="shared" si="5"/>
        <v>190mg</v>
      </c>
      <c r="D19" s="3" t="str">
        <f>SUM(IF(ISNUMBER( SEARCH("mg",B19)), LEFT(B19, LEN(B19)-2)*1, "")*3)&amp;"mg"</f>
        <v>285mg</v>
      </c>
      <c r="E19" s="2"/>
    </row>
    <row r="20" spans="1:5" hidden="1" outlineLevel="1">
      <c r="A20" s="7" t="s">
        <v>25</v>
      </c>
      <c r="B20" s="6" t="s">
        <v>66</v>
      </c>
      <c r="C20" s="3" t="str">
        <f t="shared" ref="C20:C24" si="6">SUM(IF(ISNUMBER( SEARCH("g",B20)), LEFT(B20, LEN(B20)-1)*1, "")*2)&amp;"g"</f>
        <v>0g</v>
      </c>
      <c r="D20" s="3" t="str">
        <f t="shared" ref="D20:D24" si="7">SUM(IF(ISNUMBER( SEARCH("g",B20)), LEFT(B20, LEN(B20)-1)*1, "")*3)&amp;"g"</f>
        <v>0g</v>
      </c>
      <c r="E20" s="2"/>
    </row>
    <row r="21" spans="1:5" hidden="1" outlineLevel="1">
      <c r="A21" s="7" t="s">
        <v>15</v>
      </c>
      <c r="B21" s="6" t="s">
        <v>66</v>
      </c>
      <c r="C21" s="3" t="str">
        <f t="shared" si="6"/>
        <v>0g</v>
      </c>
      <c r="D21" s="3" t="str">
        <f t="shared" si="7"/>
        <v>0g</v>
      </c>
      <c r="E21" s="2"/>
    </row>
    <row r="22" spans="1:5" hidden="1" outlineLevel="1">
      <c r="A22" s="7" t="s">
        <v>17</v>
      </c>
      <c r="B22" s="6" t="s">
        <v>66</v>
      </c>
      <c r="C22" s="3" t="str">
        <f t="shared" si="6"/>
        <v>0g</v>
      </c>
      <c r="D22" s="3" t="str">
        <f t="shared" si="7"/>
        <v>0g</v>
      </c>
      <c r="E22" s="2"/>
    </row>
    <row r="23" spans="1:5" hidden="1" outlineLevel="1">
      <c r="A23" s="7" t="s">
        <v>27</v>
      </c>
      <c r="B23" s="6" t="s">
        <v>66</v>
      </c>
      <c r="C23" s="3" t="str">
        <f t="shared" si="6"/>
        <v>0g</v>
      </c>
      <c r="D23" s="3" t="str">
        <f t="shared" si="7"/>
        <v>0g</v>
      </c>
      <c r="E23" s="2"/>
    </row>
    <row r="24" spans="1:5" hidden="1" outlineLevel="1">
      <c r="A24" s="7" t="s">
        <v>227</v>
      </c>
      <c r="B24" s="6" t="s">
        <v>66</v>
      </c>
      <c r="C24" s="3" t="str">
        <f t="shared" si="6"/>
        <v>0g</v>
      </c>
      <c r="D24" s="3" t="str">
        <f t="shared" si="7"/>
        <v>0g</v>
      </c>
      <c r="E24" s="2"/>
    </row>
    <row r="25" spans="1:5" collapsed="1">
      <c r="A25" s="26" t="s">
        <v>301</v>
      </c>
      <c r="B25" s="26"/>
      <c r="C25" s="7"/>
      <c r="D25" s="2"/>
      <c r="E25" s="2"/>
    </row>
    <row r="26" spans="1:5" hidden="1" outlineLevel="1">
      <c r="A26" s="7" t="s">
        <v>1</v>
      </c>
      <c r="B26" s="9" t="s">
        <v>155</v>
      </c>
      <c r="C26" s="9" t="s">
        <v>302</v>
      </c>
      <c r="D26" s="2"/>
      <c r="E26" s="2"/>
    </row>
    <row r="27" spans="1:5" hidden="1" outlineLevel="1">
      <c r="A27" s="7" t="s">
        <v>4</v>
      </c>
      <c r="B27" s="6">
        <v>70</v>
      </c>
      <c r="C27" s="6">
        <f>(B27*2)</f>
        <v>140</v>
      </c>
      <c r="D27" s="2"/>
      <c r="E27" s="2"/>
    </row>
    <row r="28" spans="1:5" hidden="1" outlineLevel="1">
      <c r="A28" s="7" t="s">
        <v>5</v>
      </c>
      <c r="B28" s="6" t="s">
        <v>56</v>
      </c>
      <c r="C28" s="6" t="str">
        <f t="shared" ref="C28:C29" si="8">SUM(IF(ISNUMBER( SEARCH("g",B28)), LEFT(B28, LEN(B28)-1)*1, "")*2)&amp;"g"</f>
        <v>12g</v>
      </c>
      <c r="D28" s="2"/>
      <c r="E28" s="2"/>
    </row>
    <row r="29" spans="1:5" hidden="1" outlineLevel="1">
      <c r="A29" s="7" t="s">
        <v>7</v>
      </c>
      <c r="B29" s="6" t="s">
        <v>29</v>
      </c>
      <c r="C29" s="6" t="str">
        <f t="shared" si="8"/>
        <v>7g</v>
      </c>
      <c r="D29" s="2"/>
      <c r="E29" s="2"/>
    </row>
    <row r="30" spans="1:5" hidden="1" outlineLevel="1">
      <c r="A30" s="7" t="s">
        <v>9</v>
      </c>
      <c r="B30" s="6" t="s">
        <v>215</v>
      </c>
      <c r="C30" s="6" t="str">
        <f t="shared" ref="C30:C31" si="9">SUM(IF(ISNUMBER( SEARCH("mg",B30)), LEFT(B30, LEN(B30)-2)*1, "")*2)&amp;"mg"</f>
        <v>40mg</v>
      </c>
      <c r="D30" s="2"/>
      <c r="E30" s="2"/>
    </row>
    <row r="31" spans="1:5" hidden="1" outlineLevel="1">
      <c r="A31" s="7" t="s">
        <v>49</v>
      </c>
      <c r="B31" s="6" t="s">
        <v>303</v>
      </c>
      <c r="C31" s="6" t="str">
        <f t="shared" si="9"/>
        <v>250mg</v>
      </c>
      <c r="D31" s="2"/>
      <c r="E31" s="2"/>
    </row>
    <row r="32" spans="1:5" hidden="1" outlineLevel="1">
      <c r="A32" s="7" t="s">
        <v>13</v>
      </c>
      <c r="B32" s="6" t="s">
        <v>66</v>
      </c>
      <c r="C32" s="6" t="str">
        <f t="shared" ref="C32:C36" si="10">SUM(IF(ISNUMBER( SEARCH("g",B32)), LEFT(B32, LEN(B32)-1)*1, "")*2)&amp;"g"</f>
        <v>0g</v>
      </c>
      <c r="D32" s="2"/>
      <c r="E32" s="2"/>
    </row>
    <row r="33" spans="1:5" hidden="1" outlineLevel="1">
      <c r="A33" s="7" t="s">
        <v>15</v>
      </c>
      <c r="B33" s="6" t="s">
        <v>66</v>
      </c>
      <c r="C33" s="6" t="str">
        <f t="shared" si="10"/>
        <v>0g</v>
      </c>
      <c r="D33" s="2"/>
      <c r="E33" s="2"/>
    </row>
    <row r="34" spans="1:5" hidden="1" outlineLevel="1">
      <c r="A34" s="7" t="s">
        <v>17</v>
      </c>
      <c r="B34" s="6" t="s">
        <v>66</v>
      </c>
      <c r="C34" s="6" t="str">
        <f t="shared" si="10"/>
        <v>0g</v>
      </c>
      <c r="D34" s="2"/>
      <c r="E34" s="2"/>
    </row>
    <row r="35" spans="1:5" hidden="1" outlineLevel="1">
      <c r="A35" s="7" t="s">
        <v>27</v>
      </c>
      <c r="B35" s="6" t="s">
        <v>66</v>
      </c>
      <c r="C35" s="6" t="str">
        <f t="shared" si="10"/>
        <v>0g</v>
      </c>
      <c r="D35" s="2"/>
      <c r="E35" s="2"/>
    </row>
    <row r="36" spans="1:5" hidden="1" outlineLevel="1">
      <c r="A36" s="7" t="s">
        <v>19</v>
      </c>
      <c r="B36" s="6" t="s">
        <v>39</v>
      </c>
      <c r="C36" s="6" t="str">
        <f t="shared" si="10"/>
        <v>10g</v>
      </c>
      <c r="D36" s="2"/>
      <c r="E36" s="2"/>
    </row>
    <row r="37" spans="1:5" collapsed="1">
      <c r="A37" s="26" t="s">
        <v>304</v>
      </c>
      <c r="B37" s="26"/>
      <c r="C37" s="6"/>
      <c r="D37" s="2"/>
      <c r="E37" s="2"/>
    </row>
    <row r="38" spans="1:5" hidden="1" outlineLevel="1">
      <c r="A38" s="7" t="s">
        <v>1</v>
      </c>
      <c r="B38" s="9" t="s">
        <v>149</v>
      </c>
      <c r="C38" s="9" t="s">
        <v>302</v>
      </c>
      <c r="D38" s="2"/>
      <c r="E38" s="2"/>
    </row>
    <row r="39" spans="1:5" hidden="1" outlineLevel="1">
      <c r="A39" s="7" t="s">
        <v>4</v>
      </c>
      <c r="B39" s="6">
        <v>70</v>
      </c>
      <c r="C39" s="6">
        <f>(B39*2)</f>
        <v>140</v>
      </c>
      <c r="D39" s="2"/>
      <c r="E39" s="2"/>
    </row>
    <row r="40" spans="1:5" hidden="1" outlineLevel="1">
      <c r="A40" s="7" t="s">
        <v>5</v>
      </c>
      <c r="B40" s="6" t="s">
        <v>56</v>
      </c>
      <c r="C40" s="6" t="str">
        <f t="shared" ref="C40:C41" si="11">SUM(IF(ISNUMBER( SEARCH("g",B40)), LEFT(B40, LEN(B40)-1)*1, "")*2)&amp;"g"</f>
        <v>12g</v>
      </c>
      <c r="D40" s="2"/>
      <c r="E40" s="2"/>
    </row>
    <row r="41" spans="1:5" hidden="1" outlineLevel="1">
      <c r="A41" s="7" t="s">
        <v>147</v>
      </c>
      <c r="B41" s="6" t="s">
        <v>29</v>
      </c>
      <c r="C41" s="6" t="str">
        <f t="shared" si="11"/>
        <v>7g</v>
      </c>
      <c r="D41" s="2"/>
      <c r="E41" s="2"/>
    </row>
    <row r="42" spans="1:5" hidden="1" outlineLevel="1">
      <c r="A42" s="7" t="s">
        <v>9</v>
      </c>
      <c r="B42" s="6" t="s">
        <v>215</v>
      </c>
      <c r="C42" s="6" t="str">
        <f t="shared" ref="C42:C43" si="12">SUM(IF(ISNUMBER( SEARCH("mg",B42)), LEFT(B42, LEN(B42)-2)*1, "")*2)&amp;"mg"</f>
        <v>40mg</v>
      </c>
      <c r="D42" s="2"/>
      <c r="E42" s="2"/>
    </row>
    <row r="43" spans="1:5" hidden="1" outlineLevel="1">
      <c r="A43" s="7" t="s">
        <v>49</v>
      </c>
      <c r="B43" s="6" t="s">
        <v>194</v>
      </c>
      <c r="C43" s="6" t="str">
        <f t="shared" si="12"/>
        <v>70mg</v>
      </c>
      <c r="D43" s="2"/>
      <c r="E43" s="2"/>
    </row>
    <row r="44" spans="1:5" hidden="1" outlineLevel="1">
      <c r="A44" s="7" t="s">
        <v>13</v>
      </c>
      <c r="B44" s="6" t="s">
        <v>66</v>
      </c>
      <c r="C44" s="6" t="str">
        <f t="shared" ref="C44:C48" si="13">SUM(IF(ISNUMBER( SEARCH("g",B44)), LEFT(B44, LEN(B44)-1)*1, "")*2)&amp;"g"</f>
        <v>0g</v>
      </c>
      <c r="D44" s="2"/>
      <c r="E44" s="2"/>
    </row>
    <row r="45" spans="1:5" hidden="1" outlineLevel="1">
      <c r="A45" s="7" t="s">
        <v>15</v>
      </c>
      <c r="B45" s="6" t="s">
        <v>66</v>
      </c>
      <c r="C45" s="6" t="str">
        <f t="shared" si="13"/>
        <v>0g</v>
      </c>
      <c r="D45" s="2"/>
      <c r="E45" s="2"/>
    </row>
    <row r="46" spans="1:5" hidden="1" outlineLevel="1">
      <c r="A46" s="7" t="s">
        <v>17</v>
      </c>
      <c r="B46" s="6" t="s">
        <v>66</v>
      </c>
      <c r="C46" s="6" t="str">
        <f t="shared" si="13"/>
        <v>0g</v>
      </c>
      <c r="D46" s="2"/>
      <c r="E46" s="2"/>
    </row>
    <row r="47" spans="1:5" hidden="1" outlineLevel="1">
      <c r="A47" s="7" t="s">
        <v>27</v>
      </c>
      <c r="B47" s="6" t="s">
        <v>66</v>
      </c>
      <c r="C47" s="6" t="str">
        <f t="shared" si="13"/>
        <v>0g</v>
      </c>
      <c r="D47" s="2"/>
      <c r="E47" s="2"/>
    </row>
    <row r="48" spans="1:5" hidden="1" outlineLevel="1">
      <c r="A48" s="7" t="s">
        <v>19</v>
      </c>
      <c r="B48" s="6" t="s">
        <v>39</v>
      </c>
      <c r="C48" s="6" t="str">
        <f t="shared" si="13"/>
        <v>10g</v>
      </c>
      <c r="D48" s="2"/>
      <c r="E48" s="2"/>
    </row>
    <row r="49" spans="1:5" collapsed="1">
      <c r="A49" s="26" t="s">
        <v>305</v>
      </c>
      <c r="B49" s="26"/>
      <c r="C49" s="3"/>
      <c r="D49" s="2"/>
      <c r="E49" s="2"/>
    </row>
    <row r="50" spans="1:5" hidden="1" outlineLevel="1">
      <c r="A50" s="7" t="s">
        <v>1</v>
      </c>
      <c r="B50" s="9" t="s">
        <v>306</v>
      </c>
      <c r="C50" s="2"/>
      <c r="D50" s="2"/>
      <c r="E50" s="2"/>
    </row>
    <row r="51" spans="1:5" hidden="1" outlineLevel="1">
      <c r="A51" s="7" t="s">
        <v>4</v>
      </c>
      <c r="B51" s="6">
        <v>460</v>
      </c>
      <c r="C51" s="2"/>
      <c r="D51" s="2"/>
      <c r="E51" s="2"/>
    </row>
    <row r="52" spans="1:5" hidden="1" outlineLevel="1">
      <c r="A52" s="7" t="s">
        <v>5</v>
      </c>
      <c r="B52" s="6" t="s">
        <v>65</v>
      </c>
      <c r="C52" s="2"/>
      <c r="D52" s="2"/>
      <c r="E52" s="2"/>
    </row>
    <row r="53" spans="1:5" hidden="1" outlineLevel="1">
      <c r="A53" s="7" t="s">
        <v>7</v>
      </c>
      <c r="B53" s="6" t="s">
        <v>122</v>
      </c>
      <c r="C53" s="2"/>
      <c r="D53" s="2"/>
      <c r="E53" s="2"/>
    </row>
    <row r="54" spans="1:5" hidden="1" outlineLevel="1">
      <c r="A54" s="7" t="s">
        <v>9</v>
      </c>
      <c r="B54" s="6" t="s">
        <v>31</v>
      </c>
      <c r="C54" s="2"/>
      <c r="D54" s="2"/>
      <c r="E54" s="2"/>
    </row>
    <row r="55" spans="1:5" hidden="1" outlineLevel="1">
      <c r="A55" s="7" t="s">
        <v>49</v>
      </c>
      <c r="B55" s="6" t="s">
        <v>307</v>
      </c>
      <c r="C55" s="2"/>
      <c r="D55" s="2"/>
      <c r="E55" s="2"/>
    </row>
    <row r="56" spans="1:5" hidden="1" outlineLevel="1">
      <c r="A56" s="7" t="s">
        <v>25</v>
      </c>
      <c r="B56" s="6" t="s">
        <v>182</v>
      </c>
      <c r="C56" s="2"/>
      <c r="D56" s="2"/>
      <c r="E56" s="2"/>
    </row>
    <row r="57" spans="1:5" hidden="1" outlineLevel="1">
      <c r="A57" s="7" t="s">
        <v>15</v>
      </c>
      <c r="B57" s="6" t="s">
        <v>66</v>
      </c>
      <c r="C57" s="2"/>
      <c r="D57" s="2"/>
      <c r="E57" s="2"/>
    </row>
    <row r="58" spans="1:5" hidden="1" outlineLevel="1">
      <c r="A58" s="7" t="s">
        <v>17</v>
      </c>
      <c r="B58" s="6" t="s">
        <v>308</v>
      </c>
      <c r="C58" s="2"/>
      <c r="D58" s="2"/>
      <c r="E58" s="2"/>
    </row>
    <row r="59" spans="1:5" hidden="1" outlineLevel="1">
      <c r="A59" s="7" t="s">
        <v>27</v>
      </c>
      <c r="B59" s="6" t="s">
        <v>203</v>
      </c>
      <c r="C59" s="2"/>
      <c r="D59" s="2"/>
      <c r="E59" s="2"/>
    </row>
    <row r="60" spans="1:5" hidden="1" outlineLevel="1">
      <c r="A60" s="7" t="s">
        <v>19</v>
      </c>
      <c r="B60" s="6" t="s">
        <v>65</v>
      </c>
      <c r="C60" s="2"/>
      <c r="D60" s="2"/>
      <c r="E60" s="2"/>
    </row>
    <row r="61" spans="1:5" collapsed="1">
      <c r="A61" s="26" t="s">
        <v>309</v>
      </c>
      <c r="B61" s="26"/>
      <c r="C61" s="2"/>
      <c r="D61" s="2"/>
      <c r="E61" s="2"/>
    </row>
    <row r="62" spans="1:5" hidden="1" outlineLevel="1">
      <c r="A62" s="7" t="s">
        <v>1</v>
      </c>
      <c r="B62" s="9" t="s">
        <v>310</v>
      </c>
      <c r="C62" s="9" t="s">
        <v>311</v>
      </c>
      <c r="D62" s="9" t="s">
        <v>144</v>
      </c>
      <c r="E62" s="2"/>
    </row>
    <row r="63" spans="1:5" hidden="1" outlineLevel="1">
      <c r="A63" s="7" t="s">
        <v>4</v>
      </c>
      <c r="B63" s="6">
        <v>210</v>
      </c>
      <c r="C63" s="3">
        <f>(B63*1.25)</f>
        <v>262.5</v>
      </c>
      <c r="D63" s="3">
        <f>(B63*1.5)</f>
        <v>315</v>
      </c>
      <c r="E63" s="2"/>
    </row>
    <row r="64" spans="1:5" hidden="1" outlineLevel="1">
      <c r="A64" s="7" t="s">
        <v>5</v>
      </c>
      <c r="B64" s="6" t="s">
        <v>39</v>
      </c>
      <c r="C64" s="3" t="str">
        <f t="shared" ref="C64:C65" si="14">SUM(IF(ISNUMBER( SEARCH("g",B64)), LEFT(B64, LEN(B64)-1)*1, "")*1.25)&amp;"g"</f>
        <v>6.25g</v>
      </c>
      <c r="D64" s="3" t="str">
        <f>SUM(IF(ISNUMBER( SEARCH("g",B64)), LEFT(B64, LEN(B64)-1)*1, "")*1.5)&amp;"g"</f>
        <v>7.5g</v>
      </c>
      <c r="E64" s="2"/>
    </row>
    <row r="65" spans="1:6" hidden="1" outlineLevel="1">
      <c r="A65" s="7" t="s">
        <v>7</v>
      </c>
      <c r="B65" s="6" t="s">
        <v>29</v>
      </c>
      <c r="C65" s="3" t="str">
        <f t="shared" si="14"/>
        <v>4.375g</v>
      </c>
      <c r="D65" s="3" t="str">
        <f>SUM(IF(ISNUMBER( SEARCH("g",B65)), LEFT(B65, LEN(B65)-1)*1, "")*1.5)&amp;"g"</f>
        <v>5.25g</v>
      </c>
      <c r="E65" s="2"/>
    </row>
    <row r="66" spans="1:6" hidden="1" outlineLevel="1">
      <c r="A66" s="7" t="s">
        <v>9</v>
      </c>
      <c r="B66" s="6" t="s">
        <v>215</v>
      </c>
      <c r="C66" s="3" t="str">
        <f>SUM(IF(ISNUMBER( SEARCH("mg",B66)), LEFT(B66, LEN(B66)-2)*1, "")*1.25)&amp;"mg"</f>
        <v>25mg</v>
      </c>
      <c r="D66" s="3" t="str">
        <f>SUM(IF(ISNUMBER( SEARCH("mg",B66)), LEFT(B66, LEN(B66)-2)*1, "")*1.5)&amp;"mg"</f>
        <v>30mg</v>
      </c>
      <c r="E66" s="2"/>
    </row>
    <row r="67" spans="1:6" hidden="1" outlineLevel="1">
      <c r="A67" s="7" t="s">
        <v>49</v>
      </c>
      <c r="B67" s="6" t="s">
        <v>312</v>
      </c>
      <c r="C67" s="3" t="str">
        <f>SUM(IF(ISNUMBER( SEARCH("mg",B67)), LEFT(B67, LEN(B67)-2)*1, "")*1.25)&amp;"mg"</f>
        <v>250mg</v>
      </c>
      <c r="D67" s="3" t="str">
        <f>SUM(IF(ISNUMBER( SEARCH("mg",B67)), LEFT(B67, LEN(B67)-2)*1, "")*1.5)&amp;"mg"</f>
        <v>300mg</v>
      </c>
      <c r="E67" s="2"/>
    </row>
    <row r="68" spans="1:6" hidden="1" outlineLevel="1">
      <c r="A68" s="7" t="s">
        <v>25</v>
      </c>
      <c r="B68" s="6" t="s">
        <v>272</v>
      </c>
      <c r="C68" s="3" t="str">
        <f>SUM(IF(ISNUMBER( SEARCH("g",B68)), LEFT(B68, LEN(B68)-1)*1, "")*1.25)&amp;"g"</f>
        <v>41.25g</v>
      </c>
      <c r="D68" s="3" t="str">
        <f t="shared" ref="D68:D72" si="15">SUM(IF(ISNUMBER( SEARCH("g",B68)), LEFT(B68, LEN(B68)-1)*1, "")*1.5)&amp;"g"</f>
        <v>49.5g</v>
      </c>
      <c r="E68" s="2"/>
    </row>
    <row r="69" spans="1:6" hidden="1" outlineLevel="1">
      <c r="A69" s="7" t="s">
        <v>15</v>
      </c>
      <c r="B69" s="6" t="s">
        <v>14</v>
      </c>
      <c r="C69" s="3" t="str">
        <f>SUM(IF(ISNUMBER( SEARCH("g",B69)), LEFT(B69, LEN(B69)-1)*1, "")*1.25)&amp;"g"</f>
        <v>1.25g</v>
      </c>
      <c r="D69" s="3" t="str">
        <f t="shared" si="15"/>
        <v>1.5g</v>
      </c>
      <c r="E69" s="2"/>
    </row>
    <row r="70" spans="1:6" hidden="1" outlineLevel="1">
      <c r="A70" s="7" t="s">
        <v>17</v>
      </c>
      <c r="B70" s="6" t="s">
        <v>206</v>
      </c>
      <c r="C70" s="3" t="str">
        <f t="shared" ref="C70:C72" si="16">SUM(IF(ISNUMBER( SEARCH("g",B70)), LEFT(B70, LEN(B70)-1)*1, "")*1.25)&amp;"g"</f>
        <v>33.75g</v>
      </c>
      <c r="D70" s="3" t="str">
        <f t="shared" si="15"/>
        <v>40.5g</v>
      </c>
      <c r="E70" s="2"/>
    </row>
    <row r="71" spans="1:6" hidden="1" outlineLevel="1">
      <c r="A71" s="7" t="s">
        <v>27</v>
      </c>
      <c r="B71" s="6" t="s">
        <v>65</v>
      </c>
      <c r="C71" s="3" t="str">
        <f t="shared" si="16"/>
        <v>20g</v>
      </c>
      <c r="D71" s="3" t="str">
        <f t="shared" si="15"/>
        <v>24g</v>
      </c>
      <c r="E71" s="2"/>
    </row>
    <row r="72" spans="1:6" hidden="1" outlineLevel="1">
      <c r="A72" s="7" t="s">
        <v>19</v>
      </c>
      <c r="B72" s="6" t="s">
        <v>63</v>
      </c>
      <c r="C72" s="3" t="str">
        <f t="shared" si="16"/>
        <v>10g</v>
      </c>
      <c r="D72" s="3" t="str">
        <f t="shared" si="15"/>
        <v>12g</v>
      </c>
      <c r="E72" s="2"/>
    </row>
    <row r="73" spans="1:6" collapsed="1">
      <c r="A73" s="26" t="s">
        <v>313</v>
      </c>
      <c r="B73" s="26"/>
      <c r="C73" s="7"/>
      <c r="D73" s="2"/>
      <c r="E73" s="2"/>
    </row>
    <row r="74" spans="1:6" hidden="1" outlineLevel="1">
      <c r="A74" s="7" t="s">
        <v>1</v>
      </c>
      <c r="B74" s="9" t="s">
        <v>170</v>
      </c>
      <c r="C74" s="5" t="s">
        <v>171</v>
      </c>
      <c r="D74" s="9" t="s">
        <v>314</v>
      </c>
      <c r="E74" s="9" t="s">
        <v>315</v>
      </c>
      <c r="F74" s="9" t="s">
        <v>316</v>
      </c>
    </row>
    <row r="75" spans="1:6" hidden="1" outlineLevel="1">
      <c r="A75" s="7" t="s">
        <v>4</v>
      </c>
      <c r="B75" s="3">
        <f>D75/2</f>
        <v>80</v>
      </c>
      <c r="C75" s="3">
        <f>B75*1.5</f>
        <v>120</v>
      </c>
      <c r="D75" s="6">
        <v>160</v>
      </c>
      <c r="E75" s="3">
        <f>(D75*1.5)</f>
        <v>240</v>
      </c>
      <c r="F75" s="3">
        <f>(D75*2)</f>
        <v>320</v>
      </c>
    </row>
    <row r="76" spans="1:6" hidden="1" outlineLevel="1">
      <c r="A76" s="7" t="s">
        <v>5</v>
      </c>
      <c r="B76" s="3" t="str">
        <f>SUM(IF(ISNUMBER( SEARCH("g",D76)), LEFT(D76, LEN(D76)-1)*1, "")*0.5)&amp;"g"</f>
        <v>4g</v>
      </c>
      <c r="C76" s="3" t="str">
        <f>SUM(IF(ISNUMBER( SEARCH("g",D76)), LEFT(D76, LEN(D76)-1)*1, "")*0.75)&amp;"g"</f>
        <v>6g</v>
      </c>
      <c r="D76" s="6" t="s">
        <v>63</v>
      </c>
      <c r="E76" s="3" t="str">
        <f t="shared" ref="E76:F77" si="17">SUM(IF(ISNUMBER( SEARCH("g",C76)), LEFT(C76, LEN(C76)-1)*1, "")*1.5)&amp;"g"</f>
        <v>9g</v>
      </c>
      <c r="F76" s="3" t="str">
        <f>SUM(IF(ISNUMBER( SEARCH("g",D76)), LEFT(D76, LEN(D76)-1)*1, "")*2)&amp;"g"</f>
        <v>16g</v>
      </c>
    </row>
    <row r="77" spans="1:6" hidden="1" outlineLevel="1">
      <c r="A77" s="7" t="s">
        <v>147</v>
      </c>
      <c r="B77" s="3" t="str">
        <f>SUM(IF(ISNUMBER( SEARCH("g",D77)), LEFT(D77, LEN(D77)-1)*1, "")*0.5)&amp;"g"</f>
        <v>2.5g</v>
      </c>
      <c r="C77" s="3" t="str">
        <f>SUM(IF(ISNUMBER( SEARCH("g",D77)), LEFT(D77, LEN(D77)-1)*1, "")*0.75)&amp;"g"</f>
        <v>3.75g</v>
      </c>
      <c r="D77" s="6" t="s">
        <v>39</v>
      </c>
      <c r="E77" s="3" t="str">
        <f>ROUNDUP(SUM(IF(ISNUMBER( SEARCH("g",C77)), LEFT(C77, LEN(C77)-1)*1, "")*1.5),2)&amp;"g"</f>
        <v>5.63g</v>
      </c>
      <c r="F77" s="3" t="str">
        <f>SUM(IF(ISNUMBER( SEARCH("g",D77)), LEFT(D77, LEN(D77)-1)*1, "")*2)&amp;"g"</f>
        <v>10g</v>
      </c>
    </row>
    <row r="78" spans="1:6" hidden="1" outlineLevel="1">
      <c r="A78" s="7" t="s">
        <v>9</v>
      </c>
      <c r="B78" s="3" t="str">
        <f>SUM(IF(ISNUMBER(SEARCH("mg",D78)),LEFT(D78,LEN(D78)-2)*1,"")*0.5)&amp;"mg"</f>
        <v>17.5mg</v>
      </c>
      <c r="C78" s="3" t="str">
        <f>SUM(IF(ISNUMBER( SEARCH("mg",D78)), LEFT(D78, LEN(D78)-2)*1, "")*0.75)&amp;"mg"</f>
        <v>26.25mg</v>
      </c>
      <c r="D78" s="6" t="s">
        <v>194</v>
      </c>
      <c r="E78" s="3" t="str">
        <f>ROUNDUP(SUM(IF(ISNUMBER( SEARCH("mg",C78)), LEFT(C78, LEN(C78)-2)*1, "")*1.5),2)&amp;"mg"</f>
        <v>39.38mg</v>
      </c>
      <c r="F78" s="3" t="str">
        <f>SUM(IF(ISNUMBER( SEARCH("mg",D78)), LEFT(D78, LEN(D78)-2)*1, "")*2)&amp;"mg"</f>
        <v>70mg</v>
      </c>
    </row>
    <row r="79" spans="1:6" hidden="1" outlineLevel="1">
      <c r="A79" s="7" t="s">
        <v>49</v>
      </c>
      <c r="B79" s="3" t="str">
        <f>SUM(IF(ISNUMBER( SEARCH("mg",D79)), LEFT(D79, LEN(D79)-2)*1, "")*0.5)&amp;"mg"</f>
        <v>65mg</v>
      </c>
      <c r="C79" s="3" t="str">
        <f>SUM(IF(ISNUMBER( SEARCH("mg",D79)), LEFT(D79, LEN(D79)-2)*1, "")*0.75)&amp;"mg"</f>
        <v>97.5mg</v>
      </c>
      <c r="D79" s="6" t="s">
        <v>157</v>
      </c>
      <c r="E79" s="3" t="str">
        <f t="shared" ref="E78:E79" si="18">SUM(IF(ISNUMBER( SEARCH("mg",C79)), LEFT(C79, LEN(C79)-2)*1, "")*1.5)&amp;"mg"</f>
        <v>146.25mg</v>
      </c>
      <c r="F79" s="3" t="str">
        <f>SUM(IF(ISNUMBER( SEARCH("mg",D79)), LEFT(D79, LEN(D79)-2)*1, "")*2)&amp;"mg"</f>
        <v>260mg</v>
      </c>
    </row>
    <row r="80" spans="1:6" hidden="1" outlineLevel="1">
      <c r="A80" s="7" t="s">
        <v>25</v>
      </c>
      <c r="B80" s="3" t="str">
        <f t="shared" ref="B80:B84" si="19">SUM(IF(ISNUMBER( SEARCH("g",D80)), LEFT(D80, LEN(D80)-1)*1, "")*0.5)&amp;"g"</f>
        <v>6.5g</v>
      </c>
      <c r="C80" s="3" t="str">
        <f t="shared" ref="C79:C84" si="20">SUM(IF(ISNUMBER( SEARCH("g",D80)), LEFT(D80, LEN(D80)-1)*1, "")*0.75)&amp;"g"</f>
        <v>9.75g</v>
      </c>
      <c r="D80" s="6" t="s">
        <v>35</v>
      </c>
      <c r="E80" s="3" t="str">
        <f>ROUNDUP(SUM(IF(ISNUMBER( SEARCH("g",C80)), LEFT(C80, LEN(C80)-1)*1, "")*1.5),2)&amp;"g"</f>
        <v>14.63g</v>
      </c>
      <c r="F80" s="3" t="str">
        <f t="shared" ref="F80:F84" si="21">SUM(IF(ISNUMBER( SEARCH("g",D80)), LEFT(D80, LEN(D80)-1)*1, "")*2)&amp;"g"</f>
        <v>26g</v>
      </c>
    </row>
    <row r="81" spans="1:6" hidden="1" outlineLevel="1">
      <c r="A81" s="7" t="s">
        <v>15</v>
      </c>
      <c r="B81" s="3" t="str">
        <f t="shared" si="19"/>
        <v>0g</v>
      </c>
      <c r="C81" s="3" t="str">
        <f t="shared" si="20"/>
        <v>0g</v>
      </c>
      <c r="D81" s="6" t="s">
        <v>66</v>
      </c>
      <c r="E81" s="3" t="str">
        <f t="shared" ref="E80:E84" si="22">SUM(IF(ISNUMBER( SEARCH("g",C81)), LEFT(C81, LEN(C81)-1)*1, "")*1.5)&amp;"g"</f>
        <v>0g</v>
      </c>
      <c r="F81" s="3" t="str">
        <f t="shared" si="21"/>
        <v>0g</v>
      </c>
    </row>
    <row r="82" spans="1:6" hidden="1" outlineLevel="1">
      <c r="A82" s="7" t="s">
        <v>17</v>
      </c>
      <c r="B82" s="3" t="str">
        <f t="shared" si="19"/>
        <v>6g</v>
      </c>
      <c r="C82" s="3" t="str">
        <f t="shared" si="20"/>
        <v>9g</v>
      </c>
      <c r="D82" s="6" t="s">
        <v>87</v>
      </c>
      <c r="E82" s="3" t="str">
        <f t="shared" si="22"/>
        <v>13.5g</v>
      </c>
      <c r="F82" s="3" t="str">
        <f t="shared" si="21"/>
        <v>24g</v>
      </c>
    </row>
    <row r="83" spans="1:6" hidden="1" outlineLevel="1">
      <c r="A83" s="7" t="s">
        <v>27</v>
      </c>
      <c r="B83" s="3" t="str">
        <f t="shared" si="19"/>
        <v>0g</v>
      </c>
      <c r="C83" s="3" t="str">
        <f t="shared" si="20"/>
        <v>0g</v>
      </c>
      <c r="D83" s="6" t="s">
        <v>66</v>
      </c>
      <c r="E83" s="3" t="str">
        <f t="shared" si="22"/>
        <v>0g</v>
      </c>
      <c r="F83" s="3" t="str">
        <f t="shared" si="21"/>
        <v>0g</v>
      </c>
    </row>
    <row r="84" spans="1:6" hidden="1" outlineLevel="1">
      <c r="A84" s="7" t="s">
        <v>19</v>
      </c>
      <c r="B84" s="3" t="str">
        <f t="shared" si="19"/>
        <v>4.5g</v>
      </c>
      <c r="C84" s="3" t="str">
        <f t="shared" si="20"/>
        <v>6.75g</v>
      </c>
      <c r="D84" s="6" t="s">
        <v>44</v>
      </c>
      <c r="E84" s="3" t="str">
        <f>ROUNDUP(SUM(IF(ISNUMBER( SEARCH("g",C84)), LEFT(C84, LEN(C84)-1)*1, "")*1.5),2)&amp;"g"</f>
        <v>10.13g</v>
      </c>
      <c r="F84" s="3" t="str">
        <f t="shared" si="21"/>
        <v>18g</v>
      </c>
    </row>
    <row r="85" spans="1:6" collapsed="1"/>
  </sheetData>
  <mergeCells count="7">
    <mergeCell ref="A1:B1"/>
    <mergeCell ref="A73:B73"/>
    <mergeCell ref="A25:B25"/>
    <mergeCell ref="A61:B61"/>
    <mergeCell ref="A49:B49"/>
    <mergeCell ref="A37:B37"/>
    <mergeCell ref="A13:B13"/>
  </mergeCells>
  <phoneticPr fontId="2" type="noConversion"/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969A6-D584-4907-AC9B-1DF5CFD45A00}">
  <sheetPr codeName="Sheet7"/>
  <dimension ref="A1:E156"/>
  <sheetViews>
    <sheetView tabSelected="1" topLeftCell="A48" zoomScale="115" zoomScaleNormal="115" workbookViewId="0">
      <selection activeCell="A73" sqref="A73:B73"/>
    </sheetView>
  </sheetViews>
  <sheetFormatPr defaultRowHeight="15" outlineLevelRow="1"/>
  <cols>
    <col min="1" max="1" width="30.5703125" customWidth="1"/>
    <col min="2" max="2" width="29.7109375" customWidth="1"/>
    <col min="3" max="3" width="26" customWidth="1"/>
    <col min="4" max="4" width="24.85546875" customWidth="1"/>
    <col min="5" max="5" width="13.42578125" customWidth="1"/>
  </cols>
  <sheetData>
    <row r="1" spans="1:5">
      <c r="A1" s="26" t="s">
        <v>317</v>
      </c>
      <c r="B1" s="26"/>
      <c r="C1" s="7"/>
      <c r="D1" s="2"/>
    </row>
    <row r="2" spans="1:5" outlineLevel="1">
      <c r="A2" s="7" t="s">
        <v>1</v>
      </c>
      <c r="B2" s="9" t="s">
        <v>149</v>
      </c>
      <c r="C2" s="9" t="s">
        <v>150</v>
      </c>
      <c r="D2" s="5" t="s">
        <v>151</v>
      </c>
      <c r="E2" s="9" t="s">
        <v>318</v>
      </c>
    </row>
    <row r="3" spans="1:5" outlineLevel="1">
      <c r="A3" s="7" t="s">
        <v>4</v>
      </c>
      <c r="B3" s="6">
        <v>80</v>
      </c>
      <c r="C3" s="3">
        <f>(B3*2)</f>
        <v>160</v>
      </c>
      <c r="D3" s="6">
        <f>B3*3</f>
        <v>240</v>
      </c>
      <c r="E3" s="3">
        <f>(B3*4)</f>
        <v>320</v>
      </c>
    </row>
    <row r="4" spans="1:5" outlineLevel="1">
      <c r="A4" s="7" t="s">
        <v>5</v>
      </c>
      <c r="B4" s="6" t="s">
        <v>14</v>
      </c>
      <c r="C4" s="3" t="str">
        <f>SUM(IF(ISNUMBER( SEARCH("g",B4)), LEFT(B4, LEN(B4)-1)*1, "")*2)&amp;"g"</f>
        <v>2g</v>
      </c>
      <c r="D4" s="3" t="str">
        <f>SUM(IF(ISNUMBER( SEARCH("g",B4)), LEFT(B4, LEN(B4)-1)*1, "")*3)&amp;"g"</f>
        <v>3g</v>
      </c>
      <c r="E4" s="3" t="str">
        <f>SUM(IF(ISNUMBER( SEARCH("g",B4)), LEFT(B4, LEN(B4)-1)*1, "")*4)&amp;"g"</f>
        <v>4g</v>
      </c>
    </row>
    <row r="5" spans="1:5" outlineLevel="1">
      <c r="A5" s="7" t="s">
        <v>7</v>
      </c>
      <c r="B5" s="6" t="s">
        <v>66</v>
      </c>
      <c r="C5" s="3" t="str">
        <f>SUM(IF(ISNUMBER( SEARCH("g",B5)), LEFT(B5, LEN(B5)-1)*1, "")*2)&amp;"g"</f>
        <v>0g</v>
      </c>
      <c r="D5" s="3" t="str">
        <f>SUM(IF(ISNUMBER( SEARCH("g",B5)), LEFT(B5, LEN(B5)-1)*1, "")*3)&amp;"g"</f>
        <v>0g</v>
      </c>
      <c r="E5" s="3" t="str">
        <f>SUM(IF(ISNUMBER( SEARCH("g",B5)), LEFT(B5, LEN(B5)-1)*1, "")*4)&amp;"g"</f>
        <v>0g</v>
      </c>
    </row>
    <row r="6" spans="1:5" outlineLevel="1">
      <c r="A6" s="7" t="s">
        <v>9</v>
      </c>
      <c r="B6" s="6" t="s">
        <v>23</v>
      </c>
      <c r="C6" s="3" t="str">
        <f>SUM(IF(ISNUMBER( SEARCH("mg",B6)), LEFT(B6, LEN(B6)-2)*1, "")*2)&amp;"mg"</f>
        <v>0mg</v>
      </c>
      <c r="D6" s="3" t="str">
        <f>SUM(IF(ISNUMBER( SEARCH("mg",C6)), LEFT(C6, LEN(C6)-2)*1, "")+(SUM(IF(ISNUMBER( SEARCH("mg",B6)), LEFT(B6, LEN(B6)-2)*1, ""))))&amp;"mg"</f>
        <v>0mg</v>
      </c>
      <c r="E6" s="3" t="str">
        <f>SUM(IF(ISNUMBER( SEARCH("mg",B6)), LEFT(B6, LEN(B6)-2)*1, "")*4)&amp;"mg"</f>
        <v>0mg</v>
      </c>
    </row>
    <row r="7" spans="1:5" outlineLevel="1">
      <c r="A7" s="7" t="s">
        <v>49</v>
      </c>
      <c r="B7" s="6" t="s">
        <v>222</v>
      </c>
      <c r="C7" s="3" t="str">
        <f>SUM(IF(ISNUMBER( SEARCH("mg",B7)), LEFT(B7, LEN(B7)-2)*1, "")*2)&amp;"mg"</f>
        <v>300mg</v>
      </c>
      <c r="D7" s="3" t="str">
        <f>SUM(IF(ISNUMBER( SEARCH("mg",B7)), LEFT(B7, LEN(B7)-2)*1, "")*3)&amp;"mg"</f>
        <v>450mg</v>
      </c>
      <c r="E7" s="3" t="str">
        <f>SUM(IF(ISNUMBER( SEARCH("mg",B7)), LEFT(B7, LEN(B7)-2)*1, "")*4)&amp;"mg"</f>
        <v>600mg</v>
      </c>
    </row>
    <row r="8" spans="1:5" outlineLevel="1">
      <c r="A8" s="7" t="s">
        <v>25</v>
      </c>
      <c r="B8" s="6" t="s">
        <v>79</v>
      </c>
      <c r="C8" s="3" t="str">
        <f t="shared" ref="C8:C12" si="0">SUM(IF(ISNUMBER( SEARCH("g",B8)), LEFT(B8, LEN(B8)-1)*1, "")*2)&amp;"g"</f>
        <v>30g</v>
      </c>
      <c r="D8" s="3" t="str">
        <f t="shared" ref="D8:D12" si="1">SUM(IF(ISNUMBER( SEARCH("g",B8)), LEFT(B8, LEN(B8)-1)*1, "")*3)&amp;"g"</f>
        <v>45g</v>
      </c>
      <c r="E8" s="3" t="str">
        <f>SUM(IF(ISNUMBER( SEARCH("g",B8)), LEFT(B8, LEN(B8)-1)*1, "")*4)&amp;"g"</f>
        <v>60g</v>
      </c>
    </row>
    <row r="9" spans="1:5" outlineLevel="1">
      <c r="A9" s="7" t="s">
        <v>15</v>
      </c>
      <c r="B9" s="6" t="s">
        <v>6</v>
      </c>
      <c r="C9" s="3" t="str">
        <f t="shared" si="0"/>
        <v>4g</v>
      </c>
      <c r="D9" s="3" t="str">
        <f t="shared" si="1"/>
        <v>6g</v>
      </c>
      <c r="E9" s="3" t="str">
        <f>SUM(IF(ISNUMBER( SEARCH("g",B9)), LEFT(B9, LEN(B9)-1)*1, "")*4)&amp;"g"</f>
        <v>8g</v>
      </c>
    </row>
    <row r="10" spans="1:5" outlineLevel="1">
      <c r="A10" s="7" t="s">
        <v>17</v>
      </c>
      <c r="B10" s="6" t="s">
        <v>14</v>
      </c>
      <c r="C10" s="3" t="str">
        <f t="shared" si="0"/>
        <v>2g</v>
      </c>
      <c r="D10" s="3" t="str">
        <f t="shared" si="1"/>
        <v>3g</v>
      </c>
      <c r="E10" s="3" t="str">
        <f>SUM(IF(ISNUMBER( SEARCH("g",B10)), LEFT(B10, LEN(B10)-1)*1, "")*4)&amp;"g"</f>
        <v>4g</v>
      </c>
    </row>
    <row r="11" spans="1:5" outlineLevel="1">
      <c r="A11" s="7" t="s">
        <v>27</v>
      </c>
      <c r="B11" s="6" t="s">
        <v>14</v>
      </c>
      <c r="C11" s="3" t="str">
        <f t="shared" si="0"/>
        <v>2g</v>
      </c>
      <c r="D11" s="3" t="str">
        <f t="shared" si="1"/>
        <v>3g</v>
      </c>
      <c r="E11" s="3" t="str">
        <f>SUM(IF(ISNUMBER( SEARCH("g",B11)), LEFT(B11, LEN(B11)-1)*1, "")*4)&amp;"g"</f>
        <v>4g</v>
      </c>
    </row>
    <row r="12" spans="1:5" outlineLevel="1">
      <c r="A12" s="7" t="s">
        <v>19</v>
      </c>
      <c r="B12" s="6" t="s">
        <v>37</v>
      </c>
      <c r="C12" s="3" t="str">
        <f t="shared" si="0"/>
        <v>8g</v>
      </c>
      <c r="D12" s="3" t="str">
        <f t="shared" si="1"/>
        <v>12g</v>
      </c>
      <c r="E12" s="3" t="str">
        <f>SUM(IF(ISNUMBER( SEARCH("g",B12)), LEFT(B12, LEN(B12)-1)*1, "")*4)&amp;"g"</f>
        <v>16g</v>
      </c>
    </row>
    <row r="13" spans="1:5">
      <c r="A13" s="26" t="s">
        <v>319</v>
      </c>
      <c r="B13" s="26"/>
      <c r="C13" s="7"/>
    </row>
    <row r="14" spans="1:5" outlineLevel="1">
      <c r="A14" s="7" t="s">
        <v>1</v>
      </c>
      <c r="B14" s="9" t="s">
        <v>320</v>
      </c>
      <c r="C14" s="9" t="s">
        <v>321</v>
      </c>
    </row>
    <row r="15" spans="1:5" outlineLevel="1">
      <c r="A15" s="7" t="s">
        <v>4</v>
      </c>
      <c r="B15" s="6">
        <v>115</v>
      </c>
      <c r="C15" s="3">
        <f>(B15*2)</f>
        <v>230</v>
      </c>
    </row>
    <row r="16" spans="1:5" outlineLevel="1">
      <c r="A16" s="7" t="s">
        <v>5</v>
      </c>
      <c r="B16" s="6" t="s">
        <v>14</v>
      </c>
      <c r="C16" s="3" t="str">
        <f t="shared" ref="C16:C17" si="2">SUM(IF(ISNUMBER( SEARCH("g",B16)), LEFT(B16, LEN(B16)-1)*1, "")*2)&amp;"g"</f>
        <v>2g</v>
      </c>
    </row>
    <row r="17" spans="1:4" outlineLevel="1">
      <c r="A17" s="7" t="s">
        <v>7</v>
      </c>
      <c r="B17" s="6" t="s">
        <v>66</v>
      </c>
      <c r="C17" s="3" t="str">
        <f t="shared" si="2"/>
        <v>0g</v>
      </c>
    </row>
    <row r="18" spans="1:4" outlineLevel="1">
      <c r="A18" s="7" t="s">
        <v>9</v>
      </c>
      <c r="B18" s="6" t="s">
        <v>23</v>
      </c>
      <c r="C18" s="3" t="str">
        <f t="shared" ref="C18:C19" si="3">SUM(IF(ISNUMBER( SEARCH("mg",B18)), LEFT(B18, LEN(B18)-2)*1, "")*2)&amp;"mg"</f>
        <v>0mg</v>
      </c>
    </row>
    <row r="19" spans="1:4" outlineLevel="1">
      <c r="A19" s="7" t="s">
        <v>49</v>
      </c>
      <c r="B19" s="6" t="s">
        <v>124</v>
      </c>
      <c r="C19" s="3" t="str">
        <f t="shared" si="3"/>
        <v>320mg</v>
      </c>
    </row>
    <row r="20" spans="1:4" outlineLevel="1">
      <c r="A20" s="7" t="s">
        <v>25</v>
      </c>
      <c r="B20" s="6" t="s">
        <v>119</v>
      </c>
      <c r="C20" s="3" t="str">
        <f t="shared" ref="C20:C24" si="4">SUM(IF(ISNUMBER( SEARCH("g",B20)), LEFT(B20, LEN(B20)-1)*1, "")*2)&amp;"g"</f>
        <v>46g</v>
      </c>
    </row>
    <row r="21" spans="1:4" outlineLevel="1">
      <c r="A21" s="7" t="s">
        <v>15</v>
      </c>
      <c r="B21" s="6" t="s">
        <v>14</v>
      </c>
      <c r="C21" s="3" t="str">
        <f t="shared" si="4"/>
        <v>2g</v>
      </c>
    </row>
    <row r="22" spans="1:4" outlineLevel="1">
      <c r="A22" s="7" t="s">
        <v>17</v>
      </c>
      <c r="B22" s="6" t="s">
        <v>39</v>
      </c>
      <c r="C22" s="3" t="str">
        <f t="shared" si="4"/>
        <v>10g</v>
      </c>
    </row>
    <row r="23" spans="1:4" outlineLevel="1">
      <c r="A23" s="7" t="s">
        <v>27</v>
      </c>
      <c r="B23" s="6" t="s">
        <v>22</v>
      </c>
      <c r="C23" s="3" t="str">
        <f t="shared" si="4"/>
        <v>6g</v>
      </c>
    </row>
    <row r="24" spans="1:4" outlineLevel="1">
      <c r="A24" s="7" t="s">
        <v>19</v>
      </c>
      <c r="B24" s="6" t="s">
        <v>29</v>
      </c>
      <c r="C24" s="3" t="str">
        <f t="shared" si="4"/>
        <v>7g</v>
      </c>
    </row>
    <row r="25" spans="1:4">
      <c r="A25" s="26" t="s">
        <v>322</v>
      </c>
      <c r="B25" s="26"/>
      <c r="C25" s="2"/>
      <c r="D25" s="2"/>
    </row>
    <row r="26" spans="1:4" outlineLevel="1">
      <c r="A26" s="2" t="s">
        <v>1</v>
      </c>
      <c r="B26" s="9" t="s">
        <v>323</v>
      </c>
      <c r="C26" s="5" t="s">
        <v>324</v>
      </c>
      <c r="D26" s="9" t="s">
        <v>325</v>
      </c>
    </row>
    <row r="27" spans="1:4" outlineLevel="1">
      <c r="A27" s="2" t="s">
        <v>4</v>
      </c>
      <c r="B27">
        <f>D27*0.25</f>
        <v>320</v>
      </c>
      <c r="C27" s="3">
        <f>ROUNDUP(SUM(D27/2),2)</f>
        <v>640</v>
      </c>
      <c r="D27" s="2">
        <v>1280</v>
      </c>
    </row>
    <row r="28" spans="1:4" outlineLevel="1">
      <c r="A28" s="2" t="s">
        <v>5</v>
      </c>
      <c r="B28" s="3" t="str">
        <f>ROUNDUP(SUM(IF(ISNUMBER( SEARCH("g",D28)), LEFT(D28, LEN(D28)-1)*1, "")*0.25),2)&amp;"g"</f>
        <v>7g</v>
      </c>
      <c r="C28" s="3" t="str">
        <f>ROUNDUP(SUM(IF(ISNUMBER( SEARCH("g",D28)), LEFT(D28, LEN(D28)-1)*1, "")*0.5),2)&amp;"g"</f>
        <v>14g</v>
      </c>
      <c r="D28" s="6" t="s">
        <v>127</v>
      </c>
    </row>
    <row r="29" spans="1:4" outlineLevel="1">
      <c r="A29" s="2" t="s">
        <v>7</v>
      </c>
      <c r="B29" s="3" t="str">
        <f>ROUNDUP(SUM(IF(ISNUMBER( SEARCH("g",D29)), LEFT(D29, LEN(D29)-1)*1, "")*0.25),2)&amp;"g"</f>
        <v>2.5g</v>
      </c>
      <c r="C29" s="3" t="str">
        <f>ROUNDUP(SUM(IF(ISNUMBER( SEARCH("g",D29)), LEFT(D29, LEN(D29)-1)*1, "")*0.5),2)&amp;"g"</f>
        <v>5g</v>
      </c>
      <c r="D29" s="6" t="s">
        <v>122</v>
      </c>
    </row>
    <row r="30" spans="1:4" outlineLevel="1">
      <c r="A30" s="2" t="s">
        <v>9</v>
      </c>
      <c r="B30" s="3" t="str">
        <f>ROUNDUP(SUM(IF(ISNUMBER( SEARCH("mg",D30)), LEFT(D30, LEN(D30)-2)*1, "")*0.25),2)&amp;"mg"</f>
        <v>17.5mg</v>
      </c>
      <c r="C30" s="3" t="str">
        <f>ROUNDUP(SUM(IF(ISNUMBER( SEARCH("mg",D30)), LEFT(D30, LEN(D30)-2)*1, "")*0.5),2)&amp;"mg"</f>
        <v>35mg</v>
      </c>
      <c r="D30" s="6" t="s">
        <v>31</v>
      </c>
    </row>
    <row r="31" spans="1:4" outlineLevel="1">
      <c r="A31" s="2" t="s">
        <v>49</v>
      </c>
      <c r="B31" s="3" t="str">
        <f>ROUNDUP(SUM(IF(ISNUMBER( SEARCH("mg",D31)), LEFT(D31, LEN(D31)-2)*1, "")*0.25),2)&amp;"mg"</f>
        <v>516mg</v>
      </c>
      <c r="C31" s="16" t="str">
        <f>ROUNDUP(SUM(IF(ISNUMBER( SEARCH("mg",D31)), LEFT(D31, LEN(D31)-2)*1, "")*0.5),2)&amp;"mg"</f>
        <v>1032mg</v>
      </c>
      <c r="D31" s="6" t="s">
        <v>326</v>
      </c>
    </row>
    <row r="32" spans="1:4" outlineLevel="1">
      <c r="A32" s="2" t="s">
        <v>25</v>
      </c>
      <c r="B32" s="3" t="str">
        <f t="shared" ref="B32:B36" si="5">ROUNDUP(SUM(IF(ISNUMBER( SEARCH("g",D32)), LEFT(D32, LEN(D32)-1)*1, "")*0.25),2)&amp;"g"</f>
        <v>51.5g</v>
      </c>
      <c r="C32" s="3" t="str">
        <f t="shared" ref="C32:C36" si="6">ROUNDUP(SUM(IF(ISNUMBER( SEARCH("g",D32)), LEFT(D32, LEN(D32)-1)*1, "")*0.5),2)&amp;"g"</f>
        <v>103g</v>
      </c>
      <c r="D32" s="6" t="s">
        <v>327</v>
      </c>
    </row>
    <row r="33" spans="1:4" outlineLevel="1">
      <c r="A33" s="2" t="s">
        <v>15</v>
      </c>
      <c r="B33" s="3" t="str">
        <f t="shared" si="5"/>
        <v>6g</v>
      </c>
      <c r="C33" s="3" t="str">
        <f t="shared" si="6"/>
        <v>12g</v>
      </c>
      <c r="D33" s="6" t="s">
        <v>73</v>
      </c>
    </row>
    <row r="34" spans="1:4" outlineLevel="1">
      <c r="A34" s="2" t="s">
        <v>52</v>
      </c>
      <c r="B34" s="3" t="str">
        <f t="shared" si="5"/>
        <v>9g</v>
      </c>
      <c r="C34" s="3" t="str">
        <f t="shared" si="6"/>
        <v>18g</v>
      </c>
      <c r="D34" s="6" t="s">
        <v>91</v>
      </c>
    </row>
    <row r="35" spans="1:4" outlineLevel="1">
      <c r="A35" s="2" t="s">
        <v>27</v>
      </c>
      <c r="B35" s="3" t="str">
        <f t="shared" si="5"/>
        <v>3g</v>
      </c>
      <c r="C35" s="3" t="str">
        <f t="shared" si="6"/>
        <v>6g</v>
      </c>
      <c r="D35" s="6" t="s">
        <v>87</v>
      </c>
    </row>
    <row r="36" spans="1:4" outlineLevel="1">
      <c r="A36" s="2" t="s">
        <v>19</v>
      </c>
      <c r="B36" s="3" t="str">
        <f t="shared" si="5"/>
        <v>16.5g</v>
      </c>
      <c r="C36" s="3" t="str">
        <f t="shared" si="6"/>
        <v>33g</v>
      </c>
      <c r="D36" s="6" t="s">
        <v>199</v>
      </c>
    </row>
    <row r="37" spans="1:4">
      <c r="A37" s="26" t="s">
        <v>328</v>
      </c>
      <c r="B37" s="26"/>
      <c r="C37" s="2"/>
      <c r="D37" s="2"/>
    </row>
    <row r="38" spans="1:4" outlineLevel="1">
      <c r="A38" s="2" t="s">
        <v>1</v>
      </c>
      <c r="B38" s="9" t="s">
        <v>329</v>
      </c>
      <c r="C38" s="9" t="s">
        <v>330</v>
      </c>
      <c r="D38" s="9" t="s">
        <v>331</v>
      </c>
    </row>
    <row r="39" spans="1:4" outlineLevel="1">
      <c r="A39" s="2" t="s">
        <v>4</v>
      </c>
      <c r="B39" s="6">
        <v>120</v>
      </c>
      <c r="C39">
        <f>(B39*2)</f>
        <v>240</v>
      </c>
      <c r="D39" s="3">
        <f>(B39*3)</f>
        <v>360</v>
      </c>
    </row>
    <row r="40" spans="1:4" outlineLevel="1">
      <c r="A40" s="2" t="s">
        <v>5</v>
      </c>
      <c r="B40" s="6" t="s">
        <v>30</v>
      </c>
      <c r="C40" s="3" t="str">
        <f t="shared" ref="C40:C41" si="7">SUM(IF(ISNUMBER( SEARCH("g",B40)), LEFT(B40, LEN(B40)-1)*1, "")*2)&amp;"g"</f>
        <v>3g</v>
      </c>
      <c r="D40" s="6" t="str">
        <f t="shared" ref="D40:D41" si="8">SUM(IF(ISNUMBER( SEARCH("g",B40)), LEFT(B40, LEN(B40)-1)*1, "")*3)&amp;"g"</f>
        <v>4.5g</v>
      </c>
    </row>
    <row r="41" spans="1:4" outlineLevel="1">
      <c r="A41" s="7" t="s">
        <v>7</v>
      </c>
      <c r="B41" s="6" t="s">
        <v>66</v>
      </c>
      <c r="C41" s="3" t="str">
        <f t="shared" si="7"/>
        <v>0g</v>
      </c>
      <c r="D41" s="6" t="str">
        <f t="shared" si="8"/>
        <v>0g</v>
      </c>
    </row>
    <row r="42" spans="1:4" outlineLevel="1">
      <c r="A42" s="7" t="s">
        <v>9</v>
      </c>
      <c r="B42" s="6" t="s">
        <v>23</v>
      </c>
      <c r="C42" s="6" t="str">
        <f t="shared" ref="C42:C43" si="9">SUM(IF(ISNUMBER( SEARCH("g",B42)), LEFT(B42, LEN(B42)-2)*1, "")*2)&amp;"mg"</f>
        <v>0mg</v>
      </c>
      <c r="D42" s="3" t="str">
        <f t="shared" ref="D42:D43" si="10">SUM(IF(ISNUMBER( SEARCH("mg",B42)), LEFT(B42, LEN(B42)-2)*1, "")*3)&amp;"mg"</f>
        <v>0mg</v>
      </c>
    </row>
    <row r="43" spans="1:4" outlineLevel="1">
      <c r="A43" s="2" t="s">
        <v>49</v>
      </c>
      <c r="B43" s="6" t="s">
        <v>64</v>
      </c>
      <c r="C43" s="6" t="str">
        <f t="shared" si="9"/>
        <v>420mg</v>
      </c>
      <c r="D43" s="3" t="str">
        <f t="shared" si="10"/>
        <v>630mg</v>
      </c>
    </row>
    <row r="44" spans="1:4" outlineLevel="1">
      <c r="A44" s="2" t="s">
        <v>25</v>
      </c>
      <c r="B44" s="6" t="s">
        <v>119</v>
      </c>
      <c r="C44" s="3" t="str">
        <f t="shared" ref="C44:C48" si="11">SUM(IF(ISNUMBER( SEARCH("g",B44)), LEFT(B44, LEN(B44)-1)*1, "")*2)&amp;"g"</f>
        <v>46g</v>
      </c>
      <c r="D44" s="6" t="str">
        <f t="shared" ref="D44:D48" si="12">SUM(IF(ISNUMBER( SEARCH("g",B44)), LEFT(B44, LEN(B44)-1)*1, "")*3)&amp;"g"</f>
        <v>69g</v>
      </c>
    </row>
    <row r="45" spans="1:4" outlineLevel="1">
      <c r="A45" s="2" t="s">
        <v>15</v>
      </c>
      <c r="B45" s="6" t="s">
        <v>14</v>
      </c>
      <c r="C45" s="3" t="str">
        <f t="shared" si="11"/>
        <v>2g</v>
      </c>
      <c r="D45" s="6" t="str">
        <f t="shared" si="12"/>
        <v>3g</v>
      </c>
    </row>
    <row r="46" spans="1:4" outlineLevel="1">
      <c r="A46" s="2" t="s">
        <v>52</v>
      </c>
      <c r="B46" s="6" t="s">
        <v>22</v>
      </c>
      <c r="C46" s="3" t="str">
        <f t="shared" si="11"/>
        <v>6g</v>
      </c>
      <c r="D46" s="6" t="str">
        <f t="shared" si="12"/>
        <v>9g</v>
      </c>
    </row>
    <row r="47" spans="1:4" outlineLevel="1">
      <c r="A47" s="2" t="s">
        <v>27</v>
      </c>
      <c r="B47" s="6" t="s">
        <v>22</v>
      </c>
      <c r="C47" s="3" t="str">
        <f t="shared" si="11"/>
        <v>6g</v>
      </c>
      <c r="D47" s="6" t="str">
        <f t="shared" si="12"/>
        <v>9g</v>
      </c>
    </row>
    <row r="48" spans="1:4" outlineLevel="1">
      <c r="A48" s="2" t="s">
        <v>19</v>
      </c>
      <c r="B48" s="6" t="s">
        <v>37</v>
      </c>
      <c r="C48" s="3" t="str">
        <f t="shared" si="11"/>
        <v>8g</v>
      </c>
      <c r="D48" s="6" t="str">
        <f t="shared" si="12"/>
        <v>12g</v>
      </c>
    </row>
    <row r="49" spans="1:3">
      <c r="A49" s="27" t="s">
        <v>332</v>
      </c>
      <c r="B49" s="27"/>
    </row>
    <row r="50" spans="1:3" outlineLevel="1">
      <c r="A50" t="s">
        <v>1</v>
      </c>
      <c r="B50" s="9" t="s">
        <v>333</v>
      </c>
      <c r="C50" s="9" t="s">
        <v>334</v>
      </c>
    </row>
    <row r="51" spans="1:3" outlineLevel="1">
      <c r="A51" s="2" t="s">
        <v>4</v>
      </c>
      <c r="B51" s="3">
        <v>65</v>
      </c>
      <c r="C51" s="3">
        <f>(B51*2)</f>
        <v>130</v>
      </c>
    </row>
    <row r="52" spans="1:3" outlineLevel="1">
      <c r="A52" s="2" t="s">
        <v>5</v>
      </c>
      <c r="B52" s="3" t="s">
        <v>66</v>
      </c>
      <c r="C52" s="3" t="str">
        <f t="shared" ref="C52:C53" si="13">SUM(IF(ISNUMBER( SEARCH("g",B52)), LEFT(B52, LEN(B52)-1)*1, "")*2)&amp;"g"</f>
        <v>0g</v>
      </c>
    </row>
    <row r="53" spans="1:3" outlineLevel="1">
      <c r="A53" s="2" t="s">
        <v>7</v>
      </c>
      <c r="B53" s="3" t="s">
        <v>66</v>
      </c>
      <c r="C53" s="3" t="str">
        <f t="shared" si="13"/>
        <v>0g</v>
      </c>
    </row>
    <row r="54" spans="1:3" outlineLevel="1">
      <c r="A54" s="2" t="s">
        <v>9</v>
      </c>
      <c r="B54" s="3" t="s">
        <v>23</v>
      </c>
      <c r="C54" s="6" t="str">
        <f t="shared" ref="C54:C55" si="14">SUM(IF(ISNUMBER( SEARCH("g",B54)), LEFT(B54, LEN(B54)-2)*1, "")*2)&amp;"mg"</f>
        <v>0mg</v>
      </c>
    </row>
    <row r="55" spans="1:3" outlineLevel="1">
      <c r="A55" s="2" t="s">
        <v>49</v>
      </c>
      <c r="B55" s="3" t="s">
        <v>276</v>
      </c>
      <c r="C55" s="6" t="str">
        <f t="shared" si="14"/>
        <v>250mg</v>
      </c>
    </row>
    <row r="56" spans="1:3" outlineLevel="1">
      <c r="A56" s="2" t="s">
        <v>25</v>
      </c>
      <c r="B56" s="3" t="s">
        <v>79</v>
      </c>
      <c r="C56" s="3" t="str">
        <f t="shared" ref="C56:C60" si="15">SUM(IF(ISNUMBER( SEARCH("g",B56)), LEFT(B56, LEN(B56)-1)*1, "")*2)&amp;"g"</f>
        <v>30g</v>
      </c>
    </row>
    <row r="57" spans="1:3" outlineLevel="1">
      <c r="A57" s="2" t="s">
        <v>15</v>
      </c>
      <c r="B57" s="3" t="s">
        <v>14</v>
      </c>
      <c r="C57" s="3" t="str">
        <f t="shared" si="15"/>
        <v>2g</v>
      </c>
    </row>
    <row r="58" spans="1:3" outlineLevel="1">
      <c r="A58" s="2" t="s">
        <v>52</v>
      </c>
      <c r="B58" s="3" t="s">
        <v>14</v>
      </c>
      <c r="C58" s="3" t="str">
        <f t="shared" si="15"/>
        <v>2g</v>
      </c>
    </row>
    <row r="59" spans="1:3" outlineLevel="1">
      <c r="A59" s="2" t="s">
        <v>27</v>
      </c>
      <c r="B59" s="3" t="s">
        <v>14</v>
      </c>
      <c r="C59" s="3" t="str">
        <f t="shared" si="15"/>
        <v>2g</v>
      </c>
    </row>
    <row r="60" spans="1:3" outlineLevel="1">
      <c r="A60" s="2" t="s">
        <v>19</v>
      </c>
      <c r="B60" s="3" t="s">
        <v>6</v>
      </c>
      <c r="C60" s="3" t="str">
        <f t="shared" si="15"/>
        <v>4g</v>
      </c>
    </row>
    <row r="61" spans="1:3">
      <c r="A61" s="26" t="s">
        <v>335</v>
      </c>
      <c r="B61" s="26"/>
    </row>
    <row r="62" spans="1:3" outlineLevel="1">
      <c r="A62" s="2" t="s">
        <v>1</v>
      </c>
      <c r="B62" s="9" t="s">
        <v>336</v>
      </c>
    </row>
    <row r="63" spans="1:3" outlineLevel="1">
      <c r="A63" s="2" t="s">
        <v>4</v>
      </c>
      <c r="B63" s="6">
        <v>180</v>
      </c>
    </row>
    <row r="64" spans="1:3" outlineLevel="1">
      <c r="A64" s="2" t="s">
        <v>5</v>
      </c>
      <c r="B64" s="6" t="s">
        <v>30</v>
      </c>
    </row>
    <row r="65" spans="1:4" outlineLevel="1">
      <c r="A65" s="7" t="s">
        <v>7</v>
      </c>
      <c r="B65" s="6" t="s">
        <v>66</v>
      </c>
    </row>
    <row r="66" spans="1:4" outlineLevel="1">
      <c r="A66" s="7" t="s">
        <v>9</v>
      </c>
      <c r="B66" s="6" t="s">
        <v>23</v>
      </c>
    </row>
    <row r="67" spans="1:4" outlineLevel="1">
      <c r="A67" s="2" t="s">
        <v>49</v>
      </c>
      <c r="B67" s="6" t="s">
        <v>23</v>
      </c>
    </row>
    <row r="68" spans="1:4" outlineLevel="1">
      <c r="A68" s="2" t="s">
        <v>25</v>
      </c>
      <c r="B68" s="6" t="s">
        <v>91</v>
      </c>
    </row>
    <row r="69" spans="1:4" outlineLevel="1">
      <c r="A69" s="2" t="s">
        <v>15</v>
      </c>
      <c r="B69" s="6" t="s">
        <v>6</v>
      </c>
    </row>
    <row r="70" spans="1:4" outlineLevel="1">
      <c r="A70" s="2" t="s">
        <v>52</v>
      </c>
      <c r="B70" s="6" t="s">
        <v>66</v>
      </c>
    </row>
    <row r="71" spans="1:4" outlineLevel="1">
      <c r="A71" s="2" t="s">
        <v>27</v>
      </c>
      <c r="B71" s="6" t="s">
        <v>66</v>
      </c>
    </row>
    <row r="72" spans="1:4" outlineLevel="1">
      <c r="A72" s="2" t="s">
        <v>19</v>
      </c>
      <c r="B72" s="6" t="s">
        <v>37</v>
      </c>
    </row>
    <row r="73" spans="1:4">
      <c r="A73" s="26" t="s">
        <v>337</v>
      </c>
      <c r="B73" s="26"/>
      <c r="C73" s="2"/>
      <c r="D73" s="2"/>
    </row>
    <row r="74" spans="1:4" outlineLevel="1">
      <c r="A74" s="2" t="s">
        <v>1</v>
      </c>
      <c r="B74" s="9" t="s">
        <v>338</v>
      </c>
      <c r="C74" s="2"/>
      <c r="D74" s="2"/>
    </row>
    <row r="75" spans="1:4" outlineLevel="1">
      <c r="A75" s="2" t="s">
        <v>4</v>
      </c>
      <c r="B75" s="6">
        <v>110</v>
      </c>
      <c r="C75" s="2"/>
      <c r="D75" s="2"/>
    </row>
    <row r="76" spans="1:4" outlineLevel="1">
      <c r="A76" s="2" t="s">
        <v>5</v>
      </c>
      <c r="B76" s="6" t="s">
        <v>66</v>
      </c>
      <c r="C76" s="2"/>
      <c r="D76" s="2"/>
    </row>
    <row r="77" spans="1:4" outlineLevel="1">
      <c r="A77" s="2" t="s">
        <v>7</v>
      </c>
      <c r="B77" s="6" t="s">
        <v>66</v>
      </c>
      <c r="C77" s="2"/>
      <c r="D77" s="2"/>
    </row>
    <row r="78" spans="1:4" outlineLevel="1">
      <c r="A78" s="2" t="s">
        <v>9</v>
      </c>
      <c r="B78" s="6" t="s">
        <v>23</v>
      </c>
      <c r="C78" s="2"/>
      <c r="D78" s="2"/>
    </row>
    <row r="79" spans="1:4" outlineLevel="1">
      <c r="A79" s="2" t="s">
        <v>49</v>
      </c>
      <c r="B79" s="6" t="s">
        <v>23</v>
      </c>
      <c r="C79" s="2"/>
      <c r="D79" s="2"/>
    </row>
    <row r="80" spans="1:4" outlineLevel="1">
      <c r="A80" s="2" t="s">
        <v>25</v>
      </c>
      <c r="B80" s="6" t="s">
        <v>76</v>
      </c>
      <c r="C80" s="2"/>
      <c r="D80" s="2"/>
    </row>
    <row r="81" spans="1:4" outlineLevel="1">
      <c r="A81" s="2" t="s">
        <v>15</v>
      </c>
      <c r="B81" s="6" t="s">
        <v>6</v>
      </c>
      <c r="C81" s="2"/>
      <c r="D81" s="2"/>
    </row>
    <row r="82" spans="1:4" outlineLevel="1">
      <c r="A82" s="2" t="s">
        <v>52</v>
      </c>
      <c r="B82" s="6" t="s">
        <v>14</v>
      </c>
      <c r="C82" s="2"/>
      <c r="D82" s="2"/>
    </row>
    <row r="83" spans="1:4" outlineLevel="1">
      <c r="A83" s="2" t="s">
        <v>27</v>
      </c>
      <c r="B83" s="6" t="s">
        <v>66</v>
      </c>
      <c r="C83" s="2"/>
      <c r="D83" s="2"/>
    </row>
    <row r="84" spans="1:4" outlineLevel="1">
      <c r="A84" s="2" t="s">
        <v>19</v>
      </c>
      <c r="B84" s="6" t="s">
        <v>22</v>
      </c>
      <c r="C84" s="2"/>
      <c r="D84" s="2"/>
    </row>
    <row r="85" spans="1:4">
      <c r="A85" s="26" t="s">
        <v>339</v>
      </c>
      <c r="B85" s="26"/>
    </row>
    <row r="86" spans="1:4" outlineLevel="1">
      <c r="A86" s="7" t="s">
        <v>1</v>
      </c>
      <c r="B86" s="9" t="s">
        <v>340</v>
      </c>
      <c r="C86" s="9" t="s">
        <v>341</v>
      </c>
      <c r="D86" s="9" t="s">
        <v>342</v>
      </c>
    </row>
    <row r="87" spans="1:4" outlineLevel="1">
      <c r="A87" s="7" t="s">
        <v>4</v>
      </c>
      <c r="B87" s="6">
        <v>190</v>
      </c>
      <c r="C87" s="6">
        <f>(B87*2)</f>
        <v>380</v>
      </c>
      <c r="D87" s="6">
        <f>(B87*3)</f>
        <v>570</v>
      </c>
    </row>
    <row r="88" spans="1:4" outlineLevel="1">
      <c r="A88" s="7" t="s">
        <v>5</v>
      </c>
      <c r="B88" s="6" t="s">
        <v>30</v>
      </c>
      <c r="C88" s="6" t="str">
        <f t="shared" ref="C88:C89" si="16">SUM(IF(ISNUMBER( SEARCH("g",B88)), LEFT(B88, LEN(B88)-1)*1, "")*2)&amp;"g"</f>
        <v>3g</v>
      </c>
      <c r="D88" s="6" t="str">
        <f>SUM(IF(ISNUMBER( SEARCH("g",B88)), LEFT(B88, LEN(B88)-1)*1, "")*3)&amp;"g"</f>
        <v>4.5g</v>
      </c>
    </row>
    <row r="89" spans="1:4" outlineLevel="1">
      <c r="A89" s="7" t="s">
        <v>7</v>
      </c>
      <c r="B89" s="6" t="s">
        <v>66</v>
      </c>
      <c r="C89" s="6" t="str">
        <f t="shared" si="16"/>
        <v>0g</v>
      </c>
      <c r="D89" s="6" t="str">
        <f>SUM(IF(ISNUMBER( SEARCH("g",B89)), LEFT(B89, LEN(B89)-1)*1, "")*3)&amp;"g"</f>
        <v>0g</v>
      </c>
    </row>
    <row r="90" spans="1:4" outlineLevel="1">
      <c r="A90" s="7" t="s">
        <v>9</v>
      </c>
      <c r="B90" s="6" t="s">
        <v>23</v>
      </c>
      <c r="C90" s="6" t="str">
        <f t="shared" ref="C90:C91" si="17">SUM(IF(ISNUMBER( SEARCH("g",B90)), LEFT(B90, LEN(B90)-2)*1, "")*2)&amp;"mg"</f>
        <v>0mg</v>
      </c>
      <c r="D90" s="3" t="str">
        <f>SUM(IF(ISNUMBER( SEARCH("mg",B90)), LEFT(B90, LEN(B90)-2)*1, "")*3)&amp;"mg"</f>
        <v>0mg</v>
      </c>
    </row>
    <row r="91" spans="1:4" outlineLevel="1">
      <c r="A91" s="7" t="s">
        <v>49</v>
      </c>
      <c r="B91" s="6" t="s">
        <v>343</v>
      </c>
      <c r="C91" s="6" t="str">
        <f t="shared" si="17"/>
        <v>880mg</v>
      </c>
      <c r="D91" s="3" t="str">
        <f>SUM(IF(ISNUMBER( SEARCH("mg",B91)), LEFT(B91, LEN(B91)-2)*1, "")*3)&amp;"mg"</f>
        <v>1320mg</v>
      </c>
    </row>
    <row r="92" spans="1:4" outlineLevel="1">
      <c r="A92" s="7" t="s">
        <v>25</v>
      </c>
      <c r="B92" s="6" t="s">
        <v>344</v>
      </c>
      <c r="C92" s="6" t="str">
        <f t="shared" ref="C92:C96" si="18">SUM(IF(ISNUMBER( SEARCH("g",B92)), LEFT(B92, LEN(B92)-1)*1, "")*2)&amp;"g"</f>
        <v>80g</v>
      </c>
      <c r="D92" s="6" t="str">
        <f t="shared" ref="D92:D96" si="19">SUM(IF(ISNUMBER( SEARCH("g",B92)), LEFT(B92, LEN(B92)-1)*1, "")*3)&amp;"g"</f>
        <v>120g</v>
      </c>
    </row>
    <row r="93" spans="1:4" outlineLevel="1">
      <c r="A93" s="7" t="s">
        <v>15</v>
      </c>
      <c r="B93" s="6" t="s">
        <v>14</v>
      </c>
      <c r="C93" s="6" t="str">
        <f t="shared" si="18"/>
        <v>2g</v>
      </c>
      <c r="D93" s="6" t="str">
        <f t="shared" si="19"/>
        <v>3g</v>
      </c>
    </row>
    <row r="94" spans="1:4" outlineLevel="1">
      <c r="A94" s="7" t="s">
        <v>52</v>
      </c>
      <c r="B94" s="6" t="s">
        <v>87</v>
      </c>
      <c r="C94" s="6" t="str">
        <f t="shared" si="18"/>
        <v>24g</v>
      </c>
      <c r="D94" s="6" t="str">
        <f t="shared" si="19"/>
        <v>36g</v>
      </c>
    </row>
    <row r="95" spans="1:4" outlineLevel="1">
      <c r="A95" s="7" t="s">
        <v>27</v>
      </c>
      <c r="B95" s="6" t="s">
        <v>16</v>
      </c>
      <c r="C95" s="6" t="str">
        <f t="shared" si="18"/>
        <v>14g</v>
      </c>
      <c r="D95" s="6" t="str">
        <f t="shared" si="19"/>
        <v>21g</v>
      </c>
    </row>
    <row r="96" spans="1:4" outlineLevel="1">
      <c r="A96" s="7" t="s">
        <v>19</v>
      </c>
      <c r="B96" s="6" t="s">
        <v>39</v>
      </c>
      <c r="C96" s="6" t="str">
        <f t="shared" si="18"/>
        <v>10g</v>
      </c>
      <c r="D96" s="6" t="str">
        <f t="shared" si="19"/>
        <v>15g</v>
      </c>
    </row>
    <row r="97" spans="1:4">
      <c r="A97" s="27" t="s">
        <v>345</v>
      </c>
      <c r="B97" s="27"/>
    </row>
    <row r="98" spans="1:4" outlineLevel="1">
      <c r="A98" t="s">
        <v>1</v>
      </c>
      <c r="B98" s="5" t="s">
        <v>346</v>
      </c>
      <c r="C98" s="5" t="s">
        <v>347</v>
      </c>
      <c r="D98" s="5" t="s">
        <v>348</v>
      </c>
    </row>
    <row r="99" spans="1:4" outlineLevel="1">
      <c r="A99" s="2" t="s">
        <v>4</v>
      </c>
      <c r="B99" s="3">
        <v>310</v>
      </c>
      <c r="C99" s="3">
        <f>B99*2</f>
        <v>620</v>
      </c>
      <c r="D99" s="3">
        <f>B99*4</f>
        <v>1240</v>
      </c>
    </row>
    <row r="100" spans="1:4" outlineLevel="1">
      <c r="A100" s="2" t="s">
        <v>5</v>
      </c>
      <c r="B100" s="3" t="s">
        <v>96</v>
      </c>
      <c r="C100" s="3" t="str">
        <f>SUM(IF(ISNUMBER( SEARCH("g",B100)), LEFT(B100, LEN(B100)-1)*1, "")*2)&amp;"g"</f>
        <v>22g</v>
      </c>
      <c r="D100" s="3" t="str">
        <f>SUM(IF(ISNUMBER( SEARCH("g",B100)), LEFT(B100, LEN(B100)-1)*1, "")*4)&amp;"g"</f>
        <v>44g</v>
      </c>
    </row>
    <row r="101" spans="1:4" outlineLevel="1">
      <c r="A101" s="2" t="s">
        <v>7</v>
      </c>
      <c r="B101" s="3" t="s">
        <v>75</v>
      </c>
      <c r="C101" s="3" t="str">
        <f>SUM(IF(ISNUMBER( SEARCH("g",B101)), LEFT(B101, LEN(B101)-1)*1, "")*2)&amp;"g"</f>
        <v>5g</v>
      </c>
      <c r="D101" s="3" t="str">
        <f>SUM(IF(ISNUMBER( SEARCH("g",B101)), LEFT(B101, LEN(B101)-1)*1, "")*4)&amp;"g"</f>
        <v>10g</v>
      </c>
    </row>
    <row r="102" spans="1:4" outlineLevel="1">
      <c r="A102" s="2" t="s">
        <v>9</v>
      </c>
      <c r="B102" s="3" t="s">
        <v>86</v>
      </c>
      <c r="C102" s="3" t="str">
        <f>SUM(IF(ISNUMBER( SEARCH("g",B102)), LEFT(B102, LEN(B102)-2)*1, "")*2)&amp;"mg"</f>
        <v>30mg</v>
      </c>
      <c r="D102" s="3" t="str">
        <f>SUM(IF(ISNUMBER( SEARCH("mg",B102)), LEFT(B102, LEN(B102)-2)*1, "")*4)&amp;"mg"</f>
        <v>60mg</v>
      </c>
    </row>
    <row r="103" spans="1:4" outlineLevel="1">
      <c r="A103" s="2" t="s">
        <v>49</v>
      </c>
      <c r="B103" s="3" t="s">
        <v>349</v>
      </c>
      <c r="C103" s="3" t="str">
        <f>SUM(IF(ISNUMBER( SEARCH("g",B103)), LEFT(B103, LEN(B103)-2)*1, "")*2)&amp;"mg"</f>
        <v>1820mg</v>
      </c>
      <c r="D103" s="3" t="str">
        <f>SUM(IF(ISNUMBER( SEARCH("mg",B103)), LEFT(B103, LEN(B103)-2)*1, "")*4)&amp;"mg"</f>
        <v>3640mg</v>
      </c>
    </row>
    <row r="104" spans="1:4" outlineLevel="1">
      <c r="A104" s="2" t="s">
        <v>25</v>
      </c>
      <c r="B104" s="3" t="s">
        <v>350</v>
      </c>
      <c r="C104" s="3" t="str">
        <f t="shared" ref="C104:D108" si="20">SUM(IF(ISNUMBER( SEARCH("g",B104)), LEFT(B104, LEN(B104)-1)*1, "")*2)&amp;"g"</f>
        <v>84g</v>
      </c>
      <c r="D104" s="3" t="str">
        <f t="shared" ref="D104:D108" si="21">SUM(IF(ISNUMBER( SEARCH("g",B104)), LEFT(B104, LEN(B104)-1)*1, "")*4)&amp;"g"</f>
        <v>168g</v>
      </c>
    </row>
    <row r="105" spans="1:4" outlineLevel="1">
      <c r="A105" s="2" t="s">
        <v>15</v>
      </c>
      <c r="B105" s="3" t="s">
        <v>14</v>
      </c>
      <c r="C105" s="3" t="str">
        <f t="shared" si="20"/>
        <v>2g</v>
      </c>
      <c r="D105" s="3" t="str">
        <f t="shared" si="21"/>
        <v>4g</v>
      </c>
    </row>
    <row r="106" spans="1:4" outlineLevel="1">
      <c r="A106" s="2" t="s">
        <v>52</v>
      </c>
      <c r="B106" s="3" t="s">
        <v>37</v>
      </c>
      <c r="C106" s="3" t="str">
        <f t="shared" si="20"/>
        <v>8g</v>
      </c>
      <c r="D106" s="3" t="str">
        <f t="shared" si="21"/>
        <v>16g</v>
      </c>
    </row>
    <row r="107" spans="1:4" outlineLevel="1">
      <c r="A107" s="2" t="s">
        <v>27</v>
      </c>
      <c r="B107" s="3" t="s">
        <v>66</v>
      </c>
      <c r="C107" s="3" t="str">
        <f t="shared" si="20"/>
        <v>0g</v>
      </c>
      <c r="D107" s="3" t="str">
        <f t="shared" si="21"/>
        <v>0g</v>
      </c>
    </row>
    <row r="108" spans="1:4" outlineLevel="1">
      <c r="A108" s="2" t="s">
        <v>19</v>
      </c>
      <c r="B108" s="3" t="s">
        <v>87</v>
      </c>
      <c r="C108" s="3" t="str">
        <f t="shared" si="20"/>
        <v>24g</v>
      </c>
      <c r="D108" s="3" t="str">
        <f t="shared" si="21"/>
        <v>48g</v>
      </c>
    </row>
    <row r="109" spans="1:4">
      <c r="A109" s="27" t="s">
        <v>351</v>
      </c>
      <c r="B109" s="27"/>
    </row>
    <row r="110" spans="1:4" outlineLevel="1">
      <c r="A110" t="s">
        <v>1</v>
      </c>
      <c r="B110" s="5" t="s">
        <v>352</v>
      </c>
      <c r="C110" s="5" t="s">
        <v>353</v>
      </c>
      <c r="D110" s="5" t="s">
        <v>354</v>
      </c>
    </row>
    <row r="111" spans="1:4" outlineLevel="1">
      <c r="A111" s="2" t="s">
        <v>4</v>
      </c>
      <c r="B111" s="3">
        <v>15</v>
      </c>
      <c r="C111" s="3">
        <f>B111*3</f>
        <v>45</v>
      </c>
      <c r="D111" s="3">
        <f>C111*2</f>
        <v>90</v>
      </c>
    </row>
    <row r="112" spans="1:4" outlineLevel="1">
      <c r="A112" s="2" t="s">
        <v>5</v>
      </c>
      <c r="B112" s="3" t="s">
        <v>66</v>
      </c>
      <c r="C112" s="3" t="str">
        <f>SUM(IF(ISNUMBER( SEARCH("g",B112)), LEFT(B112, LEN(B112)-1)*1, "")*3)&amp;"g"</f>
        <v>0g</v>
      </c>
      <c r="D112" s="3" t="str">
        <f>SUM(IF(ISNUMBER( SEARCH("g",B112)), LEFT(B112, LEN(B112)-1)*1, "")*6)&amp;"g"</f>
        <v>0g</v>
      </c>
    </row>
    <row r="113" spans="1:4" outlineLevel="1">
      <c r="A113" s="2" t="s">
        <v>7</v>
      </c>
      <c r="B113" s="3" t="s">
        <v>66</v>
      </c>
      <c r="C113" s="3" t="str">
        <f>SUM(IF(ISNUMBER( SEARCH("g",B113)), LEFT(B113, LEN(B113)-1)*1, "")*3)&amp;"g"</f>
        <v>0g</v>
      </c>
      <c r="D113" s="3" t="str">
        <f>SUM(IF(ISNUMBER( SEARCH("g",B113)), LEFT(B113, LEN(B113)-1)*1, "")*6)&amp;"g"</f>
        <v>0g</v>
      </c>
    </row>
    <row r="114" spans="1:4" outlineLevel="1">
      <c r="A114" s="2" t="s">
        <v>9</v>
      </c>
      <c r="B114" s="3" t="s">
        <v>23</v>
      </c>
      <c r="C114" s="3" t="str">
        <f>SUM(IF(ISNUMBER( SEARCH("mg",B114)), LEFT(B114, LEN(B114)-2)*1, "")*3)&amp;"mg"</f>
        <v>0mg</v>
      </c>
      <c r="D114" s="3" t="str">
        <f>SUM(IF(ISNUMBER( SEARCH("mg",B114)), LEFT(B114, LEN(B114)-2)*1, "")*6)&amp;"mg"</f>
        <v>0mg</v>
      </c>
    </row>
    <row r="115" spans="1:4" outlineLevel="1">
      <c r="A115" s="2" t="s">
        <v>49</v>
      </c>
      <c r="B115" s="3" t="s">
        <v>23</v>
      </c>
      <c r="C115" s="3" t="str">
        <f>SUM(IF(ISNUMBER( SEARCH("mg",B115)), LEFT(B115, LEN(B115)-2)*1, "")*3)&amp;"mg"</f>
        <v>0mg</v>
      </c>
      <c r="D115" s="3" t="str">
        <f>SUM(IF(ISNUMBER( SEARCH("mg",B115)), LEFT(B115, LEN(B115)-2)*1, "")*6)&amp;"mg"</f>
        <v>0mg</v>
      </c>
    </row>
    <row r="116" spans="1:4" outlineLevel="1">
      <c r="A116" s="2" t="s">
        <v>25</v>
      </c>
      <c r="B116" s="3" t="s">
        <v>37</v>
      </c>
      <c r="C116" s="3" t="str">
        <f t="shared" ref="C116:C120" si="22">SUM(IF(ISNUMBER( SEARCH("g",B116)), LEFT(B116, LEN(B116)-1)*1, "")*3)&amp;"g"</f>
        <v>12g</v>
      </c>
      <c r="D116" s="3" t="str">
        <f t="shared" ref="D116:D120" si="23">SUM(IF(ISNUMBER( SEARCH("g",B116)), LEFT(B116, LEN(B116)-1)*1, "")*6)&amp;"g"</f>
        <v>24g</v>
      </c>
    </row>
    <row r="117" spans="1:4" outlineLevel="1">
      <c r="A117" s="2" t="s">
        <v>15</v>
      </c>
      <c r="B117" s="3" t="s">
        <v>66</v>
      </c>
      <c r="C117" s="3" t="str">
        <f t="shared" si="22"/>
        <v>0g</v>
      </c>
      <c r="D117" s="3" t="str">
        <f t="shared" si="23"/>
        <v>0g</v>
      </c>
    </row>
    <row r="118" spans="1:4" outlineLevel="1">
      <c r="A118" s="2" t="s">
        <v>52</v>
      </c>
      <c r="B118" s="3" t="s">
        <v>37</v>
      </c>
      <c r="C118" s="3" t="str">
        <f t="shared" si="22"/>
        <v>12g</v>
      </c>
      <c r="D118" s="3" t="str">
        <f t="shared" si="23"/>
        <v>24g</v>
      </c>
    </row>
    <row r="119" spans="1:4" outlineLevel="1">
      <c r="A119" s="2" t="s">
        <v>27</v>
      </c>
      <c r="B119" s="3" t="s">
        <v>66</v>
      </c>
      <c r="C119" s="3" t="str">
        <f t="shared" si="22"/>
        <v>0g</v>
      </c>
      <c r="D119" s="3" t="str">
        <f t="shared" si="23"/>
        <v>0g</v>
      </c>
    </row>
    <row r="120" spans="1:4" outlineLevel="1">
      <c r="A120" s="2" t="s">
        <v>19</v>
      </c>
      <c r="B120" s="3" t="s">
        <v>66</v>
      </c>
      <c r="C120" s="3" t="str">
        <f t="shared" si="22"/>
        <v>0g</v>
      </c>
      <c r="D120" s="3" t="str">
        <f t="shared" si="23"/>
        <v>0g</v>
      </c>
    </row>
    <row r="121" spans="1:4">
      <c r="A121" s="27" t="s">
        <v>355</v>
      </c>
      <c r="B121" s="27"/>
    </row>
    <row r="122" spans="1:4" outlineLevel="1">
      <c r="A122" t="s">
        <v>1</v>
      </c>
      <c r="B122" s="5" t="s">
        <v>356</v>
      </c>
    </row>
    <row r="123" spans="1:4" outlineLevel="1">
      <c r="A123" t="s">
        <v>4</v>
      </c>
      <c r="B123" s="3">
        <v>60</v>
      </c>
    </row>
    <row r="124" spans="1:4" outlineLevel="1">
      <c r="A124" t="s">
        <v>5</v>
      </c>
      <c r="B124" s="3" t="s">
        <v>66</v>
      </c>
    </row>
    <row r="125" spans="1:4" outlineLevel="1">
      <c r="A125" t="s">
        <v>7</v>
      </c>
      <c r="B125" s="3" t="s">
        <v>66</v>
      </c>
    </row>
    <row r="126" spans="1:4" outlineLevel="1">
      <c r="A126" t="s">
        <v>9</v>
      </c>
      <c r="B126" s="3" t="s">
        <v>23</v>
      </c>
    </row>
    <row r="127" spans="1:4" outlineLevel="1">
      <c r="A127" t="s">
        <v>49</v>
      </c>
      <c r="B127" s="3" t="s">
        <v>23</v>
      </c>
    </row>
    <row r="128" spans="1:4" outlineLevel="1">
      <c r="A128" t="s">
        <v>25</v>
      </c>
      <c r="B128" s="3" t="s">
        <v>26</v>
      </c>
    </row>
    <row r="129" spans="1:4" outlineLevel="1">
      <c r="A129" t="s">
        <v>15</v>
      </c>
      <c r="B129" s="3" t="s">
        <v>66</v>
      </c>
    </row>
    <row r="130" spans="1:4" outlineLevel="1">
      <c r="A130" t="s">
        <v>52</v>
      </c>
      <c r="B130" s="3" t="s">
        <v>26</v>
      </c>
    </row>
    <row r="131" spans="1:4" outlineLevel="1">
      <c r="A131" t="s">
        <v>27</v>
      </c>
      <c r="B131" s="3" t="s">
        <v>66</v>
      </c>
    </row>
    <row r="132" spans="1:4" outlineLevel="1">
      <c r="A132" t="s">
        <v>19</v>
      </c>
      <c r="B132" s="3" t="s">
        <v>66</v>
      </c>
    </row>
    <row r="133" spans="1:4">
      <c r="A133" s="26" t="s">
        <v>317</v>
      </c>
      <c r="B133" s="26"/>
    </row>
    <row r="134" spans="1:4" outlineLevel="1">
      <c r="A134" t="s">
        <v>1</v>
      </c>
      <c r="B134" s="5" t="s">
        <v>155</v>
      </c>
      <c r="C134" s="5" t="s">
        <v>156</v>
      </c>
      <c r="D134" s="5" t="s">
        <v>214</v>
      </c>
    </row>
    <row r="135" spans="1:4" outlineLevel="1">
      <c r="A135" t="s">
        <v>4</v>
      </c>
      <c r="B135">
        <f>(C135*0.5)</f>
        <v>80</v>
      </c>
      <c r="C135" s="6">
        <v>160</v>
      </c>
      <c r="D135">
        <f>(C135*2)</f>
        <v>320</v>
      </c>
    </row>
    <row r="136" spans="1:4" outlineLevel="1">
      <c r="A136" t="s">
        <v>5</v>
      </c>
      <c r="B136" s="3" t="str">
        <f>ROUNDUP(SUM(IF(ISNUMBER( SEARCH("g",C136)), LEFT(C136, LEN(C136)-1)*1, "")*0.5),2)&amp;"g"</f>
        <v>1g</v>
      </c>
      <c r="C136" s="6" t="s">
        <v>6</v>
      </c>
      <c r="D136" s="3" t="str">
        <f t="shared" ref="D136:D137" si="24">SUM(IF(ISNUMBER( SEARCH("g",C136)), LEFT(C136, LEN(C136)-1)*1, "")*2)&amp;"g"</f>
        <v>4g</v>
      </c>
    </row>
    <row r="137" spans="1:4" outlineLevel="1">
      <c r="A137" t="s">
        <v>7</v>
      </c>
      <c r="B137" s="3" t="str">
        <f>ROUNDUP(SUM(IF(ISNUMBER( SEARCH("g",C137)), LEFT(C137, LEN(C137)-1)*1, "")*0.5),2)&amp;"g"</f>
        <v>0g</v>
      </c>
      <c r="C137" s="6" t="s">
        <v>66</v>
      </c>
      <c r="D137" s="3" t="str">
        <f t="shared" si="24"/>
        <v>0g</v>
      </c>
    </row>
    <row r="138" spans="1:4" outlineLevel="1">
      <c r="A138" t="s">
        <v>9</v>
      </c>
      <c r="B138" s="3" t="str">
        <f>ROUNDUP(SUM(IF(ISNUMBER( SEARCH("mg",C138)), LEFT(C138, LEN(C138)-2)*1, "")*0.5),2)&amp;"mg"</f>
        <v>0mg</v>
      </c>
      <c r="C138" s="6" t="s">
        <v>23</v>
      </c>
      <c r="D138" s="3" t="str">
        <f t="shared" ref="D138:D139" si="25">SUM(IF(ISNUMBER( SEARCH("mg",C138)), LEFT(C138, LEN(C138)-2)*1, "")*2)&amp;"mg"</f>
        <v>0mg</v>
      </c>
    </row>
    <row r="139" spans="1:4" outlineLevel="1">
      <c r="A139" t="s">
        <v>49</v>
      </c>
      <c r="B139" s="3" t="str">
        <f>ROUNDUP(SUM(IF(ISNUMBER( SEARCH("mg",C139)), LEFT(C139, LEN(C139)-2)*1, "")*0.5),2)&amp;"mg"</f>
        <v>150mg</v>
      </c>
      <c r="C139" s="6" t="s">
        <v>357</v>
      </c>
      <c r="D139" s="3" t="str">
        <f t="shared" si="25"/>
        <v>600mg</v>
      </c>
    </row>
    <row r="140" spans="1:4" outlineLevel="1">
      <c r="A140" t="s">
        <v>25</v>
      </c>
      <c r="B140" s="3" t="str">
        <f>ROUNDUP(SUM(IF(ISNUMBER( SEARCH("g",C140)), LEFT(C140, LEN(C140)-1)*1, "")*0.5),2)&amp;"g"</f>
        <v>15g</v>
      </c>
      <c r="C140" s="6" t="s">
        <v>277</v>
      </c>
      <c r="D140" s="3" t="str">
        <f t="shared" ref="D140:D144" si="26">SUM(IF(ISNUMBER( SEARCH("g",C140)), LEFT(C140, LEN(C140)-1)*1, "")*2)&amp;"g"</f>
        <v>60g</v>
      </c>
    </row>
    <row r="141" spans="1:4" outlineLevel="1">
      <c r="A141" t="s">
        <v>15</v>
      </c>
      <c r="B141" s="3" t="str">
        <f>ROUNDUP(SUM(IF(ISNUMBER( SEARCH("g",C141)), LEFT(C141, LEN(C141)-1)*1, "")*0.5),2)&amp;"g"</f>
        <v>2g</v>
      </c>
      <c r="C141" s="6" t="s">
        <v>37</v>
      </c>
      <c r="D141" s="3" t="str">
        <f t="shared" si="26"/>
        <v>8g</v>
      </c>
    </row>
    <row r="142" spans="1:4" outlineLevel="1">
      <c r="A142" t="s">
        <v>52</v>
      </c>
      <c r="B142" s="3" t="str">
        <f>ROUNDUP(SUM(IF(ISNUMBER( SEARCH("g",C142)), LEFT(C142, LEN(C142)-1)*1, "")*0.5),2)&amp;"g"</f>
        <v>1g</v>
      </c>
      <c r="C142" s="6" t="s">
        <v>6</v>
      </c>
      <c r="D142" s="3" t="str">
        <f t="shared" si="26"/>
        <v>4g</v>
      </c>
    </row>
    <row r="143" spans="1:4" outlineLevel="1">
      <c r="A143" t="s">
        <v>27</v>
      </c>
      <c r="B143" s="3" t="str">
        <f>ROUNDUP(SUM(IF(ISNUMBER( SEARCH("g",C143)), LEFT(C143, LEN(C143)-1)*1, "")*0.5),2)&amp;"g"</f>
        <v>1g</v>
      </c>
      <c r="C143" s="6" t="s">
        <v>6</v>
      </c>
      <c r="D143" s="3" t="str">
        <f t="shared" si="26"/>
        <v>4g</v>
      </c>
    </row>
    <row r="144" spans="1:4" outlineLevel="1">
      <c r="A144" t="s">
        <v>19</v>
      </c>
      <c r="B144" s="3" t="str">
        <f>ROUNDUP(SUM(IF(ISNUMBER( SEARCH("g",C144)), LEFT(C144, LEN(C144)-1)*1, "")*0.5),2)&amp;"g"</f>
        <v>4g</v>
      </c>
      <c r="C144" s="6" t="s">
        <v>63</v>
      </c>
      <c r="D144" s="3" t="str">
        <f t="shared" si="26"/>
        <v>16g</v>
      </c>
    </row>
    <row r="145" spans="1:4">
      <c r="A145" s="27" t="s">
        <v>358</v>
      </c>
      <c r="B145" s="27"/>
    </row>
    <row r="146" spans="1:4" outlineLevel="1">
      <c r="A146" t="s">
        <v>1</v>
      </c>
      <c r="B146" s="5" t="s">
        <v>155</v>
      </c>
      <c r="C146" s="5" t="s">
        <v>156</v>
      </c>
      <c r="D146" s="5" t="s">
        <v>214</v>
      </c>
    </row>
    <row r="147" spans="1:4" outlineLevel="1">
      <c r="A147" t="s">
        <v>4</v>
      </c>
      <c r="B147" s="3">
        <v>80</v>
      </c>
      <c r="C147" s="3">
        <f t="shared" ref="C147:D147" si="27">(B147*2)</f>
        <v>160</v>
      </c>
      <c r="D147" s="3">
        <f t="shared" si="27"/>
        <v>320</v>
      </c>
    </row>
    <row r="148" spans="1:4" outlineLevel="1">
      <c r="A148" t="s">
        <v>5</v>
      </c>
      <c r="B148" s="3" t="s">
        <v>14</v>
      </c>
      <c r="C148" s="3" t="str">
        <f t="shared" ref="C148:D149" si="28">SUM(IF(ISNUMBER( SEARCH("g",B148)), LEFT(B148, LEN(B148)-1)*1, "")*2)&amp;"g"</f>
        <v>2g</v>
      </c>
      <c r="D148" s="3" t="str">
        <f>SUM(IF(ISNUMBER( SEARCH("g",B148)), LEFT(B148, LEN(B148)-1)*1, "")*4)&amp;"g"</f>
        <v>4g</v>
      </c>
    </row>
    <row r="149" spans="1:4" outlineLevel="1">
      <c r="A149" t="s">
        <v>7</v>
      </c>
      <c r="B149" s="3" t="s">
        <v>66</v>
      </c>
      <c r="C149" s="3" t="str">
        <f t="shared" si="28"/>
        <v>0g</v>
      </c>
      <c r="D149" s="3" t="str">
        <f>SUM(IF(ISNUMBER( SEARCH("g",B149)), LEFT(B149, LEN(B149)-1)*1, "")*4)&amp;"g"</f>
        <v>0g</v>
      </c>
    </row>
    <row r="150" spans="1:4" outlineLevel="1">
      <c r="A150" t="s">
        <v>9</v>
      </c>
      <c r="B150" s="3" t="s">
        <v>23</v>
      </c>
      <c r="C150" s="3" t="str">
        <f t="shared" ref="C150:D151" si="29">SUM(IF(ISNUMBER( SEARCH("mg",B150)), LEFT(B150, LEN(B150)-2)*1, "")*2)&amp;"mg"</f>
        <v>0mg</v>
      </c>
      <c r="D150" s="3" t="str">
        <f>SUM(IF(ISNUMBER( SEARCH("mg",B150)), LEFT(B150, LEN(B150)-2)*1, "")*4)&amp;"mg"</f>
        <v>0mg</v>
      </c>
    </row>
    <row r="151" spans="1:4" outlineLevel="1">
      <c r="A151" t="s">
        <v>49</v>
      </c>
      <c r="B151" s="3" t="s">
        <v>359</v>
      </c>
      <c r="C151" s="3" t="str">
        <f t="shared" si="29"/>
        <v>280mg</v>
      </c>
      <c r="D151" s="3" t="str">
        <f>SUM(IF(ISNUMBER( SEARCH("mg",B151)), LEFT(B151, LEN(B151)-2)*1, "")*4)&amp;"mg"</f>
        <v>560mg</v>
      </c>
    </row>
    <row r="152" spans="1:4" outlineLevel="1">
      <c r="A152" t="s">
        <v>25</v>
      </c>
      <c r="B152" s="3" t="s">
        <v>79</v>
      </c>
      <c r="C152" s="3" t="str">
        <f t="shared" ref="C152:D156" si="30">SUM(IF(ISNUMBER( SEARCH("g",B152)), LEFT(B152, LEN(B152)-1)*1, "")*2)&amp;"g"</f>
        <v>30g</v>
      </c>
      <c r="D152" s="3" t="str">
        <f>SUM(IF(ISNUMBER( SEARCH("g",B152)), LEFT(B152, LEN(B152)-1)*1, "")*4)&amp;"g"</f>
        <v>60g</v>
      </c>
    </row>
    <row r="153" spans="1:4" outlineLevel="1">
      <c r="A153" t="s">
        <v>15</v>
      </c>
      <c r="B153" s="3" t="s">
        <v>14</v>
      </c>
      <c r="C153" s="3" t="str">
        <f t="shared" si="30"/>
        <v>2g</v>
      </c>
      <c r="D153" s="3" t="str">
        <f t="shared" ref="D153:D156" si="31">SUM(IF(ISNUMBER( SEARCH("g",B153)), LEFT(B153, LEN(B153)-1)*1, "")*4)&amp;"g"</f>
        <v>4g</v>
      </c>
    </row>
    <row r="154" spans="1:4" outlineLevel="1">
      <c r="A154" t="s">
        <v>52</v>
      </c>
      <c r="B154" s="3" t="s">
        <v>6</v>
      </c>
      <c r="C154" s="3" t="str">
        <f t="shared" si="30"/>
        <v>4g</v>
      </c>
      <c r="D154" s="3" t="str">
        <f t="shared" si="31"/>
        <v>8g</v>
      </c>
    </row>
    <row r="155" spans="1:4" outlineLevel="1">
      <c r="A155" t="s">
        <v>27</v>
      </c>
      <c r="B155" s="3" t="s">
        <v>66</v>
      </c>
      <c r="C155" s="3" t="str">
        <f t="shared" si="30"/>
        <v>0g</v>
      </c>
      <c r="D155" s="3" t="str">
        <f t="shared" si="31"/>
        <v>0g</v>
      </c>
    </row>
    <row r="156" spans="1:4" outlineLevel="1">
      <c r="A156" t="s">
        <v>19</v>
      </c>
      <c r="B156" s="3" t="s">
        <v>6</v>
      </c>
      <c r="C156" s="3" t="str">
        <f t="shared" si="30"/>
        <v>4g</v>
      </c>
      <c r="D156" s="3" t="str">
        <f t="shared" si="31"/>
        <v>8g</v>
      </c>
    </row>
  </sheetData>
  <mergeCells count="13">
    <mergeCell ref="A1:B1"/>
    <mergeCell ref="A61:B61"/>
    <mergeCell ref="A13:B13"/>
    <mergeCell ref="A133:B133"/>
    <mergeCell ref="A145:B145"/>
    <mergeCell ref="A109:B109"/>
    <mergeCell ref="A121:B121"/>
    <mergeCell ref="A97:B97"/>
    <mergeCell ref="A85:B85"/>
    <mergeCell ref="A37:B37"/>
    <mergeCell ref="A49:B49"/>
    <mergeCell ref="A73:B73"/>
    <mergeCell ref="A25:B25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C09F4-B99F-43DC-8AAC-AF3A03D97B3D}">
  <sheetPr codeName="Sheet8"/>
  <dimension ref="A1:E216"/>
  <sheetViews>
    <sheetView zoomScale="130" zoomScaleNormal="130" workbookViewId="0">
      <selection activeCell="C16" sqref="C16"/>
    </sheetView>
  </sheetViews>
  <sheetFormatPr defaultColWidth="9.140625" defaultRowHeight="15" outlineLevelRow="1"/>
  <cols>
    <col min="1" max="1" width="23.28515625" style="2" customWidth="1"/>
    <col min="2" max="2" width="21.42578125" style="2" customWidth="1"/>
    <col min="3" max="3" width="27" style="2" customWidth="1"/>
    <col min="4" max="4" width="21.28515625" style="2" customWidth="1"/>
    <col min="5" max="5" width="15.140625" style="2" customWidth="1"/>
    <col min="6" max="16384" width="9.140625" style="2"/>
  </cols>
  <sheetData>
    <row r="1" spans="1:3">
      <c r="A1" s="26" t="s">
        <v>360</v>
      </c>
      <c r="B1" s="26"/>
    </row>
    <row r="2" spans="1:3" outlineLevel="1">
      <c r="A2" s="7" t="s">
        <v>1</v>
      </c>
      <c r="B2" s="9" t="s">
        <v>361</v>
      </c>
    </row>
    <row r="3" spans="1:3" outlineLevel="1">
      <c r="A3" s="7" t="s">
        <v>4</v>
      </c>
      <c r="B3" s="6">
        <v>670</v>
      </c>
    </row>
    <row r="4" spans="1:3" outlineLevel="1">
      <c r="A4" s="7" t="s">
        <v>5</v>
      </c>
      <c r="B4" s="6" t="s">
        <v>125</v>
      </c>
    </row>
    <row r="5" spans="1:3" outlineLevel="1">
      <c r="A5" s="7" t="s">
        <v>7</v>
      </c>
      <c r="B5" s="6" t="s">
        <v>87</v>
      </c>
    </row>
    <row r="6" spans="1:3" outlineLevel="1">
      <c r="A6" s="7" t="s">
        <v>9</v>
      </c>
      <c r="B6" s="6" t="s">
        <v>359</v>
      </c>
    </row>
    <row r="7" spans="1:3" outlineLevel="1">
      <c r="A7" s="7" t="s">
        <v>49</v>
      </c>
      <c r="B7" s="6" t="s">
        <v>362</v>
      </c>
    </row>
    <row r="8" spans="1:3" outlineLevel="1">
      <c r="A8" s="7" t="s">
        <v>13</v>
      </c>
      <c r="B8" s="6" t="s">
        <v>363</v>
      </c>
    </row>
    <row r="9" spans="1:3" outlineLevel="1">
      <c r="A9" s="7" t="s">
        <v>15</v>
      </c>
      <c r="B9" s="6" t="s">
        <v>37</v>
      </c>
    </row>
    <row r="10" spans="1:3" outlineLevel="1">
      <c r="A10" s="7" t="s">
        <v>17</v>
      </c>
      <c r="B10" s="6" t="s">
        <v>22</v>
      </c>
    </row>
    <row r="11" spans="1:3" outlineLevel="1">
      <c r="A11" s="7" t="s">
        <v>27</v>
      </c>
      <c r="B11" s="6" t="s">
        <v>66</v>
      </c>
    </row>
    <row r="12" spans="1:3" outlineLevel="1">
      <c r="A12" s="7" t="s">
        <v>19</v>
      </c>
      <c r="B12" s="6" t="s">
        <v>92</v>
      </c>
    </row>
    <row r="13" spans="1:3">
      <c r="A13" s="26" t="s">
        <v>364</v>
      </c>
      <c r="B13" s="26"/>
    </row>
    <row r="14" spans="1:3" outlineLevel="1">
      <c r="A14" s="7" t="s">
        <v>1</v>
      </c>
      <c r="B14" s="9" t="s">
        <v>365</v>
      </c>
    </row>
    <row r="15" spans="1:3" outlineLevel="1">
      <c r="A15" s="7" t="s">
        <v>4</v>
      </c>
      <c r="B15" s="6">
        <v>371</v>
      </c>
      <c r="C15" s="2">
        <f>B15*2</f>
        <v>742</v>
      </c>
    </row>
    <row r="16" spans="1:3" outlineLevel="1">
      <c r="A16" s="7" t="s">
        <v>5</v>
      </c>
      <c r="B16" s="6" t="s">
        <v>79</v>
      </c>
      <c r="C16" s="6" t="str">
        <f>SUM(IF(ISNUMBER( SEARCH("g",B16)), LEFT(B16, LEN(B16)-1)*1, "")*2)&amp;"g"</f>
        <v>30g</v>
      </c>
    </row>
    <row r="17" spans="1:5" outlineLevel="1">
      <c r="A17" s="7" t="s">
        <v>7</v>
      </c>
      <c r="B17" s="6" t="s">
        <v>29</v>
      </c>
      <c r="C17" s="6" t="str">
        <f>SUM(IF(ISNUMBER( SEARCH("g",B17)), LEFT(B17, LEN(B17)-1)*1, "")*2)&amp;"g"</f>
        <v>7g</v>
      </c>
    </row>
    <row r="18" spans="1:5" outlineLevel="1">
      <c r="A18" s="7" t="s">
        <v>9</v>
      </c>
      <c r="B18" s="6" t="s">
        <v>194</v>
      </c>
      <c r="C18" s="6" t="str">
        <f>SUM(IF(ISNUMBER( SEARCH("mg",B18)), LEFT(B18, LEN(B18)-2)*1, "")+(SUM(IF(ISNUMBER( SEARCH("mg",B18)), LEFT(B18, LEN(B18)-2)*1, ""))))&amp;"mg"</f>
        <v>70mg</v>
      </c>
    </row>
    <row r="19" spans="1:5" outlineLevel="1">
      <c r="A19" s="7" t="s">
        <v>49</v>
      </c>
      <c r="B19" s="6" t="s">
        <v>366</v>
      </c>
      <c r="C19" s="6" t="str">
        <f>SUM(IF(ISNUMBER( SEARCH("mg",B19)), LEFT(B19, LEN(B19)-2)*1, "")+(SUM(IF(ISNUMBER( SEARCH("mg",B19)), LEFT(B19, LEN(B19)-2)*1, ""))))&amp;"mg"</f>
        <v>1140mg</v>
      </c>
    </row>
    <row r="20" spans="1:5" outlineLevel="1">
      <c r="A20" s="7" t="s">
        <v>25</v>
      </c>
      <c r="B20" s="6" t="s">
        <v>146</v>
      </c>
      <c r="C20" s="6" t="str">
        <f>SUM(IF(ISNUMBER( SEARCH("g",B20)), LEFT(B20, LEN(B20)-1)*1, "")*2)&amp;"g"</f>
        <v>62g</v>
      </c>
    </row>
    <row r="21" spans="1:5" outlineLevel="1">
      <c r="A21" s="7" t="s">
        <v>15</v>
      </c>
      <c r="B21" s="6" t="s">
        <v>6</v>
      </c>
      <c r="C21" s="6" t="str">
        <f>SUM(IF(ISNUMBER( SEARCH("g",B21)), LEFT(B21, LEN(B21)-1)*1, "")*2)&amp;"g"</f>
        <v>4g</v>
      </c>
    </row>
    <row r="22" spans="1:5" outlineLevel="1">
      <c r="A22" s="7" t="s">
        <v>17</v>
      </c>
      <c r="B22" s="6" t="s">
        <v>22</v>
      </c>
      <c r="C22" s="6" t="str">
        <f>SUM(IF(ISNUMBER( SEARCH("g",B22)), LEFT(B22, LEN(B22)-1)*1, "")*2)&amp;"g"</f>
        <v>6g</v>
      </c>
    </row>
    <row r="23" spans="1:5" outlineLevel="1">
      <c r="A23" s="7" t="s">
        <v>27</v>
      </c>
      <c r="B23" s="6" t="s">
        <v>66</v>
      </c>
      <c r="C23" s="6" t="str">
        <f>SUM(IF(ISNUMBER( SEARCH("g",B23)), LEFT(B23, LEN(B23)-1)*1, "")*2)&amp;"g"</f>
        <v>0g</v>
      </c>
    </row>
    <row r="24" spans="1:5" outlineLevel="1">
      <c r="A24" s="7" t="s">
        <v>19</v>
      </c>
      <c r="B24" s="6" t="s">
        <v>65</v>
      </c>
      <c r="C24" s="6" t="str">
        <f>SUM(IF(ISNUMBER( SEARCH("g",B24)), LEFT(B24, LEN(B24)-1)*1, "")*2)&amp;"g"</f>
        <v>32g</v>
      </c>
    </row>
    <row r="25" spans="1:5">
      <c r="A25" s="26" t="s">
        <v>367</v>
      </c>
      <c r="B25" s="26"/>
    </row>
    <row r="26" spans="1:5" outlineLevel="1">
      <c r="A26" s="7" t="s">
        <v>1</v>
      </c>
      <c r="B26" s="9" t="s">
        <v>368</v>
      </c>
      <c r="C26" s="9" t="s">
        <v>369</v>
      </c>
    </row>
    <row r="27" spans="1:5" outlineLevel="1">
      <c r="A27" s="7" t="s">
        <v>4</v>
      </c>
      <c r="B27" s="6">
        <v>490</v>
      </c>
      <c r="C27" s="2">
        <f>(B27*2)</f>
        <v>980</v>
      </c>
    </row>
    <row r="28" spans="1:5" outlineLevel="1">
      <c r="A28" s="7" t="s">
        <v>5</v>
      </c>
      <c r="B28" s="6" t="s">
        <v>43</v>
      </c>
      <c r="C28" s="6" t="str">
        <f>SUM(IF(ISNUMBER( SEARCH("g",B28)), LEFT(B28, LEN(B28)-1)*1, "")*2)&amp;"g"</f>
        <v>36g</v>
      </c>
    </row>
    <row r="29" spans="1:5" outlineLevel="1">
      <c r="A29" s="7" t="s">
        <v>7</v>
      </c>
      <c r="B29" s="6" t="s">
        <v>16</v>
      </c>
      <c r="C29" s="6" t="str">
        <f>SUM(IF(ISNUMBER( SEARCH("g",B29)), LEFT(B29, LEN(B29)-1)*1, "")*2)&amp;"g"</f>
        <v>14g</v>
      </c>
    </row>
    <row r="30" spans="1:5" outlineLevel="1">
      <c r="A30" s="7" t="s">
        <v>9</v>
      </c>
      <c r="B30" s="6" t="s">
        <v>123</v>
      </c>
      <c r="C30" s="6" t="str">
        <f t="shared" ref="C30:C31" si="0">SUM(IF(ISNUMBER( SEARCH("mg",B30)), LEFT(B30, LEN(B30)-2)*1, "")+(SUM(IF(ISNUMBER( SEARCH("mg",B30)), LEFT(B30, LEN(B30)-2)*1, ""))))&amp;"mg"</f>
        <v>60mg</v>
      </c>
    </row>
    <row r="31" spans="1:5" outlineLevel="1">
      <c r="A31" s="7" t="s">
        <v>49</v>
      </c>
      <c r="B31" s="6" t="s">
        <v>370</v>
      </c>
      <c r="C31" s="17" t="str">
        <f t="shared" si="0"/>
        <v>2500mg</v>
      </c>
      <c r="D31"/>
      <c r="E31"/>
    </row>
    <row r="32" spans="1:5" outlineLevel="1">
      <c r="A32" s="7" t="s">
        <v>25</v>
      </c>
      <c r="B32" s="6" t="s">
        <v>262</v>
      </c>
      <c r="C32" s="6" t="str">
        <f>SUM(IF(ISNUMBER( SEARCH("g",B32)), LEFT(B32, LEN(B32)-1)*1, "")*2)&amp;"g"</f>
        <v>126g</v>
      </c>
    </row>
    <row r="33" spans="1:3" outlineLevel="1">
      <c r="A33" s="7" t="s">
        <v>15</v>
      </c>
      <c r="B33" s="6" t="s">
        <v>44</v>
      </c>
      <c r="C33" s="6" t="str">
        <f>SUM(IF(ISNUMBER( SEARCH("g",B33)), LEFT(B33, LEN(B33)-1)*1, "")*2)&amp;"g"</f>
        <v>18g</v>
      </c>
    </row>
    <row r="34" spans="1:3" outlineLevel="1">
      <c r="A34" s="7" t="s">
        <v>17</v>
      </c>
      <c r="B34" s="6" t="s">
        <v>39</v>
      </c>
      <c r="C34" s="6" t="str">
        <f>SUM(IF(ISNUMBER( SEARCH("g",B34)), LEFT(B34, LEN(B34)-1)*1, "")*2)&amp;"g"</f>
        <v>10g</v>
      </c>
    </row>
    <row r="35" spans="1:3" outlineLevel="1">
      <c r="A35" s="7" t="s">
        <v>27</v>
      </c>
      <c r="B35" s="6" t="s">
        <v>66</v>
      </c>
      <c r="C35" s="6" t="str">
        <f>SUM(IF(ISNUMBER( SEARCH("g",B35)), LEFT(B35, LEN(B35)-1)*1, "")*2)&amp;"g"</f>
        <v>0g</v>
      </c>
    </row>
    <row r="36" spans="1:3" outlineLevel="1">
      <c r="A36" s="7" t="s">
        <v>19</v>
      </c>
      <c r="B36" s="6" t="s">
        <v>43</v>
      </c>
      <c r="C36" s="6" t="str">
        <f>SUM(IF(ISNUMBER( SEARCH("g",B36)), LEFT(B36, LEN(B36)-1)*1, "")*2)&amp;"g"</f>
        <v>36g</v>
      </c>
    </row>
    <row r="37" spans="1:3">
      <c r="A37" s="26" t="s">
        <v>371</v>
      </c>
      <c r="B37" s="26"/>
      <c r="C37" s="6"/>
    </row>
    <row r="38" spans="1:3" outlineLevel="1">
      <c r="A38" s="7" t="s">
        <v>1</v>
      </c>
      <c r="B38" s="9" t="s">
        <v>368</v>
      </c>
      <c r="C38" s="9" t="s">
        <v>369</v>
      </c>
    </row>
    <row r="39" spans="1:3" outlineLevel="1">
      <c r="A39" s="7" t="s">
        <v>4</v>
      </c>
      <c r="B39" s="2">
        <v>390</v>
      </c>
      <c r="C39" s="6">
        <f>(B39*2)</f>
        <v>780</v>
      </c>
    </row>
    <row r="40" spans="1:3" outlineLevel="1">
      <c r="A40" s="7" t="s">
        <v>5</v>
      </c>
      <c r="B40" s="6" t="s">
        <v>372</v>
      </c>
      <c r="C40" s="6" t="str">
        <f>SUM(IF(ISNUMBER( SEARCH("g",B40)), LEFT(B40, LEN(B40)-1)*1, "")*2)&amp;"g"</f>
        <v>28g</v>
      </c>
    </row>
    <row r="41" spans="1:3" outlineLevel="1">
      <c r="A41" s="7" t="s">
        <v>7</v>
      </c>
      <c r="B41" s="6" t="s">
        <v>56</v>
      </c>
      <c r="C41" s="6" t="str">
        <f>SUM(IF(ISNUMBER( SEARCH("g",B41)), LEFT(B41, LEN(B41)-1)*1, "")*2)&amp;"g"</f>
        <v>12g</v>
      </c>
    </row>
    <row r="42" spans="1:3" outlineLevel="1">
      <c r="A42" s="7" t="s">
        <v>9</v>
      </c>
      <c r="B42" s="6" t="s">
        <v>219</v>
      </c>
      <c r="C42" s="6" t="str">
        <f t="shared" ref="C42:C43" si="1">SUM(IF(ISNUMBER( SEARCH("mg",B42)), LEFT(B42, LEN(B42)-2)*1, "")+(SUM(IF(ISNUMBER( SEARCH("mg",B42)), LEFT(B42, LEN(B42)-2)*1, ""))))&amp;"mg"</f>
        <v>50mg</v>
      </c>
    </row>
    <row r="43" spans="1:3" outlineLevel="1">
      <c r="A43" s="7" t="s">
        <v>49</v>
      </c>
      <c r="B43" s="6" t="s">
        <v>373</v>
      </c>
      <c r="C43" s="6" t="str">
        <f t="shared" si="1"/>
        <v>2220mg</v>
      </c>
    </row>
    <row r="44" spans="1:3" outlineLevel="1">
      <c r="A44" s="7" t="s">
        <v>25</v>
      </c>
      <c r="B44" s="6" t="s">
        <v>195</v>
      </c>
      <c r="C44" s="6" t="str">
        <f>SUM(IF(ISNUMBER( SEARCH("g",B44)), LEFT(B44, LEN(B44)-1)*1, "")*2)&amp;"g"</f>
        <v>102g</v>
      </c>
    </row>
    <row r="45" spans="1:3" outlineLevel="1">
      <c r="A45" s="7" t="s">
        <v>15</v>
      </c>
      <c r="B45" s="6" t="s">
        <v>44</v>
      </c>
      <c r="C45" s="6" t="str">
        <f>SUM(IF(ISNUMBER( SEARCH("g",B45)), LEFT(B45, LEN(B45)-1)*1, "")*2)&amp;"g"</f>
        <v>18g</v>
      </c>
    </row>
    <row r="46" spans="1:3" outlineLevel="1">
      <c r="A46" s="7" t="s">
        <v>17</v>
      </c>
      <c r="B46" s="6" t="s">
        <v>37</v>
      </c>
      <c r="C46" s="6" t="str">
        <f>SUM(IF(ISNUMBER( SEARCH("g",B46)), LEFT(B46, LEN(B46)-1)*1, "")*2)&amp;"g"</f>
        <v>8g</v>
      </c>
    </row>
    <row r="47" spans="1:3" outlineLevel="1">
      <c r="A47" s="7" t="s">
        <v>27</v>
      </c>
      <c r="B47" s="6" t="s">
        <v>66</v>
      </c>
      <c r="C47" s="6" t="str">
        <f>SUM(IF(ISNUMBER( SEARCH("g",B47)), LEFT(B47, LEN(B47)-1)*1, "")*2)&amp;"g"</f>
        <v>0g</v>
      </c>
    </row>
    <row r="48" spans="1:3" outlineLevel="1">
      <c r="A48" s="7" t="s">
        <v>19</v>
      </c>
      <c r="B48" s="6" t="s">
        <v>65</v>
      </c>
      <c r="C48" s="6" t="str">
        <f>SUM(IF(ISNUMBER( SEARCH("g",B48)), LEFT(B48, LEN(B48)-1)*1, "")*2)&amp;"g"</f>
        <v>32g</v>
      </c>
    </row>
    <row r="49" spans="1:3">
      <c r="A49" s="26" t="s">
        <v>374</v>
      </c>
      <c r="B49" s="26"/>
      <c r="C49" s="6"/>
    </row>
    <row r="50" spans="1:3" outlineLevel="1">
      <c r="A50" s="7" t="s">
        <v>1</v>
      </c>
      <c r="B50" s="9" t="s">
        <v>368</v>
      </c>
      <c r="C50" s="9" t="s">
        <v>369</v>
      </c>
    </row>
    <row r="51" spans="1:3" outlineLevel="1">
      <c r="A51" s="7" t="s">
        <v>4</v>
      </c>
      <c r="B51" s="2">
        <v>420</v>
      </c>
      <c r="C51" s="6">
        <f>(B51*2)</f>
        <v>840</v>
      </c>
    </row>
    <row r="52" spans="1:3" outlineLevel="1">
      <c r="A52" s="7" t="s">
        <v>5</v>
      </c>
      <c r="B52" s="6" t="s">
        <v>79</v>
      </c>
      <c r="C52" s="6" t="str">
        <f>SUM(IF(ISNUMBER( SEARCH("g",B52)), LEFT(B52, LEN(B52)-1)*1, "")*2)&amp;"g"</f>
        <v>30g</v>
      </c>
    </row>
    <row r="53" spans="1:3" outlineLevel="1">
      <c r="A53" s="7" t="s">
        <v>7</v>
      </c>
      <c r="B53" s="6" t="s">
        <v>39</v>
      </c>
      <c r="C53" s="6" t="str">
        <f>SUM(IF(ISNUMBER( SEARCH("g",B53)), LEFT(B53, LEN(B53)-1)*1, "")*2)&amp;"g"</f>
        <v>10g</v>
      </c>
    </row>
    <row r="54" spans="1:3" outlineLevel="1">
      <c r="A54" s="7" t="s">
        <v>9</v>
      </c>
      <c r="B54" s="6" t="s">
        <v>86</v>
      </c>
      <c r="C54" s="6" t="str">
        <f t="shared" ref="C54:C55" si="2">SUM(IF(ISNUMBER( SEARCH("mg",B54)), LEFT(B54, LEN(B54)-2)*1, "")+(SUM(IF(ISNUMBER( SEARCH("mg",B54)), LEFT(B54, LEN(B54)-2)*1, ""))))&amp;"mg"</f>
        <v>30mg</v>
      </c>
    </row>
    <row r="55" spans="1:3" outlineLevel="1">
      <c r="A55" s="7" t="s">
        <v>49</v>
      </c>
      <c r="B55" s="6" t="s">
        <v>375</v>
      </c>
      <c r="C55" s="6" t="str">
        <f t="shared" si="2"/>
        <v>1920mg</v>
      </c>
    </row>
    <row r="56" spans="1:3" outlineLevel="1">
      <c r="A56" s="7" t="s">
        <v>25</v>
      </c>
      <c r="B56" s="6" t="s">
        <v>376</v>
      </c>
      <c r="C56" s="6" t="str">
        <f>SUM(IF(ISNUMBER( SEARCH("g",B56)), LEFT(B56, LEN(B56)-1)*1, "")*2)&amp;"g"</f>
        <v>116g</v>
      </c>
    </row>
    <row r="57" spans="1:3" outlineLevel="1">
      <c r="A57" s="7" t="s">
        <v>15</v>
      </c>
      <c r="B57" s="6" t="s">
        <v>44</v>
      </c>
      <c r="C57" s="6" t="str">
        <f>SUM(IF(ISNUMBER( SEARCH("g",B57)), LEFT(B57, LEN(B57)-1)*1, "")*2)&amp;"g"</f>
        <v>18g</v>
      </c>
    </row>
    <row r="58" spans="1:3" outlineLevel="1">
      <c r="A58" s="7" t="s">
        <v>17</v>
      </c>
      <c r="B58" s="6" t="s">
        <v>37</v>
      </c>
      <c r="C58" s="6" t="str">
        <f>SUM(IF(ISNUMBER( SEARCH("g",B58)), LEFT(B58, LEN(B58)-1)*1, "")*2)&amp;"g"</f>
        <v>8g</v>
      </c>
    </row>
    <row r="59" spans="1:3" outlineLevel="1">
      <c r="A59" s="7" t="s">
        <v>27</v>
      </c>
      <c r="B59" s="6" t="s">
        <v>66</v>
      </c>
      <c r="C59" s="6" t="str">
        <f>SUM(IF(ISNUMBER( SEARCH("g",B59)), LEFT(B59, LEN(B59)-1)*1, "")*2)&amp;"g"</f>
        <v>0g</v>
      </c>
    </row>
    <row r="60" spans="1:3" outlineLevel="1">
      <c r="A60" s="7" t="s">
        <v>19</v>
      </c>
      <c r="B60" s="6" t="s">
        <v>35</v>
      </c>
      <c r="C60" s="6" t="str">
        <f>SUM(IF(ISNUMBER( SEARCH("g",B60)), LEFT(B60, LEN(B60)-1)*1, "")*2)&amp;"g"</f>
        <v>26g</v>
      </c>
    </row>
    <row r="61" spans="1:3">
      <c r="A61" s="26" t="s">
        <v>377</v>
      </c>
      <c r="B61" s="26"/>
    </row>
    <row r="62" spans="1:3" outlineLevel="1">
      <c r="A62" s="7" t="s">
        <v>1</v>
      </c>
      <c r="B62" s="9" t="s">
        <v>365</v>
      </c>
      <c r="C62" s="9" t="s">
        <v>378</v>
      </c>
    </row>
    <row r="63" spans="1:3" outlineLevel="1">
      <c r="A63" s="7" t="s">
        <v>4</v>
      </c>
      <c r="B63" s="2">
        <v>350</v>
      </c>
      <c r="C63" s="6">
        <f>(B63*2)</f>
        <v>700</v>
      </c>
    </row>
    <row r="64" spans="1:3" outlineLevel="1">
      <c r="A64" s="7" t="s">
        <v>5</v>
      </c>
      <c r="B64" s="6" t="s">
        <v>43</v>
      </c>
      <c r="C64" s="6" t="str">
        <f>SUM(IF(ISNUMBER( SEARCH("g",B64)), LEFT(B64, LEN(B64)-1)*1, "")*2)&amp;"g"</f>
        <v>36g</v>
      </c>
    </row>
    <row r="65" spans="1:3" outlineLevel="1">
      <c r="A65" s="7" t="s">
        <v>7</v>
      </c>
      <c r="B65" s="6" t="s">
        <v>39</v>
      </c>
      <c r="C65" s="6" t="str">
        <f>SUM(IF(ISNUMBER( SEARCH("g",B65)), LEFT(B65, LEN(B65)-1)*1, "")*2)&amp;"g"</f>
        <v>10g</v>
      </c>
    </row>
    <row r="66" spans="1:3" outlineLevel="1">
      <c r="A66" s="7" t="s">
        <v>9</v>
      </c>
      <c r="B66" s="6" t="s">
        <v>219</v>
      </c>
      <c r="C66" s="6" t="str">
        <f t="shared" ref="C66:C67" si="3">SUM(IF(ISNUMBER( SEARCH("mg",B66)), LEFT(B66, LEN(B66)-2)*1, "")+(SUM(IF(ISNUMBER( SEARCH("mg",B66)), LEFT(B66, LEN(B66)-2)*1, ""))))&amp;"mg"</f>
        <v>50mg</v>
      </c>
    </row>
    <row r="67" spans="1:3" outlineLevel="1">
      <c r="A67" s="7" t="s">
        <v>49</v>
      </c>
      <c r="B67" s="6" t="s">
        <v>379</v>
      </c>
      <c r="C67" s="6" t="str">
        <f t="shared" si="3"/>
        <v>1120mg</v>
      </c>
    </row>
    <row r="68" spans="1:3" outlineLevel="1">
      <c r="A68" s="7" t="s">
        <v>25</v>
      </c>
      <c r="B68" s="6" t="s">
        <v>272</v>
      </c>
      <c r="C68" s="6" t="str">
        <f>SUM(IF(ISNUMBER( SEARCH("g",B68)), LEFT(B68, LEN(B68)-1)*1, "")*2)&amp;"g"</f>
        <v>66g</v>
      </c>
    </row>
    <row r="69" spans="1:3" outlineLevel="1">
      <c r="A69" s="7" t="s">
        <v>15</v>
      </c>
      <c r="B69" s="6" t="s">
        <v>37</v>
      </c>
      <c r="C69" s="6" t="str">
        <f>SUM(IF(ISNUMBER( SEARCH("g",B69)), LEFT(B69, LEN(B69)-1)*1, "")*2)&amp;"g"</f>
        <v>8g</v>
      </c>
    </row>
    <row r="70" spans="1:3" outlineLevel="1">
      <c r="A70" s="7" t="s">
        <v>17</v>
      </c>
      <c r="B70" s="6" t="s">
        <v>22</v>
      </c>
      <c r="C70" s="6" t="str">
        <f>SUM(IF(ISNUMBER( SEARCH("g",B70)), LEFT(B70, LEN(B70)-1)*1, "")*2)&amp;"g"</f>
        <v>6g</v>
      </c>
    </row>
    <row r="71" spans="1:3" outlineLevel="1">
      <c r="A71" s="7" t="s">
        <v>27</v>
      </c>
      <c r="B71" s="6" t="s">
        <v>66</v>
      </c>
      <c r="C71" s="6" t="str">
        <f>SUM(IF(ISNUMBER( SEARCH("g",B71)), LEFT(B71, LEN(B71)-1)*1, "")*2)&amp;"g"</f>
        <v>0g</v>
      </c>
    </row>
    <row r="72" spans="1:3" outlineLevel="1">
      <c r="A72" s="7" t="s">
        <v>19</v>
      </c>
      <c r="B72" s="6" t="s">
        <v>35</v>
      </c>
      <c r="C72" s="6" t="str">
        <f>SUM(IF(ISNUMBER( SEARCH("g",B72)), LEFT(B72, LEN(B72)-1)*1, "")*2)&amp;"g"</f>
        <v>26g</v>
      </c>
    </row>
    <row r="73" spans="1:3">
      <c r="A73" s="26" t="s">
        <v>380</v>
      </c>
      <c r="B73" s="26"/>
      <c r="C73" s="3"/>
    </row>
    <row r="74" spans="1:3" outlineLevel="1">
      <c r="A74" s="2" t="s">
        <v>1</v>
      </c>
      <c r="B74" s="9" t="s">
        <v>361</v>
      </c>
    </row>
    <row r="75" spans="1:3" outlineLevel="1">
      <c r="A75" s="2" t="s">
        <v>4</v>
      </c>
      <c r="B75" s="2">
        <v>530</v>
      </c>
    </row>
    <row r="76" spans="1:3" outlineLevel="1">
      <c r="A76" s="2" t="s">
        <v>5</v>
      </c>
      <c r="B76" s="6" t="s">
        <v>92</v>
      </c>
    </row>
    <row r="77" spans="1:3" outlineLevel="1">
      <c r="A77" s="2" t="s">
        <v>7</v>
      </c>
      <c r="B77" s="6" t="s">
        <v>56</v>
      </c>
    </row>
    <row r="78" spans="1:3" outlineLevel="1">
      <c r="A78" s="2" t="s">
        <v>9</v>
      </c>
      <c r="B78" s="6" t="s">
        <v>219</v>
      </c>
    </row>
    <row r="79" spans="1:3" outlineLevel="1">
      <c r="A79" s="2" t="s">
        <v>49</v>
      </c>
      <c r="B79" s="6" t="s">
        <v>381</v>
      </c>
    </row>
    <row r="80" spans="1:3" outlineLevel="1">
      <c r="A80" s="2" t="s">
        <v>25</v>
      </c>
      <c r="B80" s="6" t="s">
        <v>382</v>
      </c>
    </row>
    <row r="81" spans="1:3" outlineLevel="1">
      <c r="A81" s="2" t="s">
        <v>15</v>
      </c>
      <c r="B81" s="6" t="s">
        <v>56</v>
      </c>
    </row>
    <row r="82" spans="1:3" outlineLevel="1">
      <c r="A82" s="2" t="s">
        <v>17</v>
      </c>
      <c r="B82" s="6" t="s">
        <v>56</v>
      </c>
    </row>
    <row r="83" spans="1:3" outlineLevel="1">
      <c r="A83" s="2" t="s">
        <v>27</v>
      </c>
      <c r="B83" s="6" t="s">
        <v>66</v>
      </c>
    </row>
    <row r="84" spans="1:3" outlineLevel="1">
      <c r="A84" s="2" t="s">
        <v>19</v>
      </c>
      <c r="B84" s="6" t="s">
        <v>65</v>
      </c>
    </row>
    <row r="85" spans="1:3">
      <c r="A85" s="26" t="s">
        <v>383</v>
      </c>
      <c r="B85" s="26"/>
    </row>
    <row r="86" spans="1:3" outlineLevel="1">
      <c r="A86" s="2" t="s">
        <v>1</v>
      </c>
      <c r="B86" s="9" t="s">
        <v>384</v>
      </c>
      <c r="C86" s="9" t="s">
        <v>385</v>
      </c>
    </row>
    <row r="87" spans="1:3" outlineLevel="1">
      <c r="A87" s="2" t="s">
        <v>4</v>
      </c>
      <c r="B87" s="6">
        <v>180</v>
      </c>
      <c r="C87" s="6">
        <f>(B87*2)</f>
        <v>360</v>
      </c>
    </row>
    <row r="88" spans="1:3" outlineLevel="1">
      <c r="A88" s="2" t="s">
        <v>5</v>
      </c>
      <c r="B88" s="6" t="s">
        <v>44</v>
      </c>
      <c r="C88" s="6" t="str">
        <f t="shared" ref="C88:C89" si="4">SUM(IF(ISNUMBER( SEARCH("g",B88)), LEFT(B88, LEN(B88)-1)*1, "")*2)&amp;"g"</f>
        <v>18g</v>
      </c>
    </row>
    <row r="89" spans="1:3" outlineLevel="1">
      <c r="A89" s="2" t="s">
        <v>7</v>
      </c>
      <c r="B89" s="6" t="s">
        <v>37</v>
      </c>
      <c r="C89" s="6" t="str">
        <f t="shared" si="4"/>
        <v>8g</v>
      </c>
    </row>
    <row r="90" spans="1:3" outlineLevel="1">
      <c r="A90" s="2" t="s">
        <v>9</v>
      </c>
      <c r="B90" s="6" t="s">
        <v>219</v>
      </c>
      <c r="C90" s="6" t="str">
        <f t="shared" ref="C90:C91" si="5">SUM(IF(ISNUMBER( SEARCH("mg",B90)), LEFT(B90, LEN(B90)-2)*1, "")+(SUM(IF(ISNUMBER( SEARCH("mg",B90)), LEFT(B90, LEN(B90)-2)*1, ""))))&amp;"mg"</f>
        <v>50mg</v>
      </c>
    </row>
    <row r="91" spans="1:3" outlineLevel="1">
      <c r="A91" s="2" t="s">
        <v>49</v>
      </c>
      <c r="B91" s="6" t="s">
        <v>386</v>
      </c>
      <c r="C91" s="6" t="str">
        <f t="shared" si="5"/>
        <v>1000mg</v>
      </c>
    </row>
    <row r="92" spans="1:3" outlineLevel="1">
      <c r="A92" s="2" t="s">
        <v>25</v>
      </c>
      <c r="B92" s="6" t="s">
        <v>26</v>
      </c>
      <c r="C92" s="6" t="str">
        <f t="shared" ref="C92:C96" si="6">SUM(IF(ISNUMBER( SEARCH("g",B92)), LEFT(B92, LEN(B92)-1)*1, "")*2)&amp;"g"</f>
        <v>34g</v>
      </c>
    </row>
    <row r="93" spans="1:3" outlineLevel="1">
      <c r="A93" s="2" t="s">
        <v>15</v>
      </c>
      <c r="B93" s="6" t="s">
        <v>22</v>
      </c>
      <c r="C93" s="6" t="str">
        <f t="shared" si="6"/>
        <v>6g</v>
      </c>
    </row>
    <row r="94" spans="1:3" outlineLevel="1">
      <c r="A94" s="2" t="s">
        <v>17</v>
      </c>
      <c r="B94" s="6" t="s">
        <v>14</v>
      </c>
      <c r="C94" s="6" t="str">
        <f t="shared" si="6"/>
        <v>2g</v>
      </c>
    </row>
    <row r="95" spans="1:3" outlineLevel="1">
      <c r="A95" s="2" t="s">
        <v>27</v>
      </c>
      <c r="B95" s="6" t="s">
        <v>66</v>
      </c>
      <c r="C95" s="6" t="str">
        <f t="shared" si="6"/>
        <v>0g</v>
      </c>
    </row>
    <row r="96" spans="1:3" outlineLevel="1">
      <c r="A96" s="2" t="s">
        <v>19</v>
      </c>
      <c r="B96" s="6" t="s">
        <v>44</v>
      </c>
      <c r="C96" s="6" t="str">
        <f t="shared" si="6"/>
        <v>18g</v>
      </c>
    </row>
    <row r="97" spans="1:3">
      <c r="A97" s="26" t="s">
        <v>387</v>
      </c>
      <c r="B97" s="26"/>
    </row>
    <row r="98" spans="1:3" outlineLevel="1">
      <c r="A98" s="7" t="s">
        <v>1</v>
      </c>
      <c r="B98" s="9" t="s">
        <v>388</v>
      </c>
      <c r="C98" s="9" t="s">
        <v>389</v>
      </c>
    </row>
    <row r="99" spans="1:3" outlineLevel="1">
      <c r="A99" s="7" t="s">
        <v>4</v>
      </c>
      <c r="B99" s="6">
        <v>280</v>
      </c>
      <c r="C99" s="6">
        <f>(B99*2)</f>
        <v>560</v>
      </c>
    </row>
    <row r="100" spans="1:3" outlineLevel="1">
      <c r="A100" s="7" t="s">
        <v>5</v>
      </c>
      <c r="B100" s="6" t="s">
        <v>122</v>
      </c>
      <c r="C100" s="6" t="str">
        <f t="shared" ref="C100:C101" si="7">SUM(IF(ISNUMBER( SEARCH("g",B100)), LEFT(B100, LEN(B100)-1)*1, "")*2)&amp;"g"</f>
        <v>20g</v>
      </c>
    </row>
    <row r="101" spans="1:3" outlineLevel="1">
      <c r="A101" s="7" t="s">
        <v>7</v>
      </c>
      <c r="B101" s="6" t="s">
        <v>29</v>
      </c>
      <c r="C101" s="6" t="str">
        <f t="shared" si="7"/>
        <v>7g</v>
      </c>
    </row>
    <row r="102" spans="1:3" outlineLevel="1">
      <c r="A102" s="7" t="s">
        <v>9</v>
      </c>
      <c r="B102" s="6" t="s">
        <v>390</v>
      </c>
      <c r="C102" s="6" t="str">
        <f t="shared" ref="C102:C103" si="8">SUM(IF(ISNUMBER( SEARCH("mg",B102)), LEFT(B102, LEN(B102)-2)*1, "")+(SUM(IF(ISNUMBER( SEARCH("mg",B102)), LEFT(B102, LEN(B102)-2)*1, ""))))&amp;"mg"</f>
        <v>90mg</v>
      </c>
    </row>
    <row r="103" spans="1:3" outlineLevel="1">
      <c r="A103" s="7" t="s">
        <v>49</v>
      </c>
      <c r="B103" s="6" t="s">
        <v>379</v>
      </c>
      <c r="C103" s="6" t="str">
        <f t="shared" si="8"/>
        <v>1120mg</v>
      </c>
    </row>
    <row r="104" spans="1:3" outlineLevel="1">
      <c r="A104" s="7" t="s">
        <v>25</v>
      </c>
      <c r="B104" s="6" t="s">
        <v>206</v>
      </c>
      <c r="C104" s="6" t="str">
        <f t="shared" ref="C104:C108" si="9">SUM(IF(ISNUMBER( SEARCH("g",B104)), LEFT(B104, LEN(B104)-1)*1, "")*2)&amp;"g"</f>
        <v>54g</v>
      </c>
    </row>
    <row r="105" spans="1:3" outlineLevel="1">
      <c r="A105" s="7" t="s">
        <v>15</v>
      </c>
      <c r="B105" s="6" t="s">
        <v>14</v>
      </c>
      <c r="C105" s="6" t="str">
        <f t="shared" si="9"/>
        <v>2g</v>
      </c>
    </row>
    <row r="106" spans="1:3" outlineLevel="1">
      <c r="A106" s="7" t="s">
        <v>17</v>
      </c>
      <c r="B106" s="6" t="s">
        <v>16</v>
      </c>
      <c r="C106" s="6" t="str">
        <f t="shared" si="9"/>
        <v>14g</v>
      </c>
    </row>
    <row r="107" spans="1:3" outlineLevel="1">
      <c r="A107" s="7" t="s">
        <v>27</v>
      </c>
      <c r="B107" s="6" t="s">
        <v>66</v>
      </c>
      <c r="C107" s="6" t="str">
        <f t="shared" si="9"/>
        <v>0g</v>
      </c>
    </row>
    <row r="108" spans="1:3" outlineLevel="1">
      <c r="A108" s="7" t="s">
        <v>19</v>
      </c>
      <c r="B108" s="6" t="s">
        <v>79</v>
      </c>
      <c r="C108" s="6" t="str">
        <f t="shared" si="9"/>
        <v>30g</v>
      </c>
    </row>
    <row r="109" spans="1:3">
      <c r="A109" s="26" t="s">
        <v>391</v>
      </c>
      <c r="B109" s="26"/>
      <c r="C109" s="6"/>
    </row>
    <row r="110" spans="1:3" outlineLevel="1">
      <c r="A110" s="7" t="s">
        <v>1</v>
      </c>
      <c r="B110" s="9" t="s">
        <v>388</v>
      </c>
      <c r="C110" s="9" t="s">
        <v>389</v>
      </c>
    </row>
    <row r="111" spans="1:3" outlineLevel="1">
      <c r="A111" s="7" t="s">
        <v>4</v>
      </c>
      <c r="B111" s="2">
        <v>390</v>
      </c>
      <c r="C111" s="6">
        <f>(B111*2)</f>
        <v>780</v>
      </c>
    </row>
    <row r="112" spans="1:3" outlineLevel="1">
      <c r="A112" s="7" t="s">
        <v>5</v>
      </c>
      <c r="B112" s="6" t="s">
        <v>92</v>
      </c>
      <c r="C112" s="6" t="str">
        <f t="shared" ref="C112:C113" si="10">SUM(IF(ISNUMBER( SEARCH("g",B112)), LEFT(B112, LEN(B112)-1)*1, "")*2)&amp;"g"</f>
        <v>42g</v>
      </c>
    </row>
    <row r="113" spans="1:3" outlineLevel="1">
      <c r="A113" s="7" t="s">
        <v>147</v>
      </c>
      <c r="B113" s="6" t="s">
        <v>44</v>
      </c>
      <c r="C113" s="6" t="str">
        <f t="shared" si="10"/>
        <v>18g</v>
      </c>
    </row>
    <row r="114" spans="1:3" outlineLevel="1">
      <c r="A114" s="7" t="s">
        <v>9</v>
      </c>
      <c r="B114" s="6" t="s">
        <v>36</v>
      </c>
      <c r="C114" s="6" t="str">
        <f t="shared" ref="C114:C115" si="11">SUM(IF(ISNUMBER( SEARCH("mg",B114)), LEFT(B114, LEN(B114)-2)*1, "")+(SUM(IF(ISNUMBER( SEARCH("mg",B114)), LEFT(B114, LEN(B114)-2)*1, ""))))&amp;"mg"</f>
        <v>170mg</v>
      </c>
    </row>
    <row r="115" spans="1:3" outlineLevel="1">
      <c r="A115" s="7" t="s">
        <v>49</v>
      </c>
      <c r="B115" s="6" t="s">
        <v>392</v>
      </c>
      <c r="C115" s="6" t="str">
        <f t="shared" si="11"/>
        <v>100mg</v>
      </c>
    </row>
    <row r="116" spans="1:3" outlineLevel="1">
      <c r="A116" s="7" t="s">
        <v>25</v>
      </c>
      <c r="B116" s="6" t="s">
        <v>206</v>
      </c>
      <c r="C116" s="6" t="str">
        <f t="shared" ref="C116:C120" si="12">SUM(IF(ISNUMBER( SEARCH("g",B116)), LEFT(B116, LEN(B116)-1)*1, "")*2)&amp;"g"</f>
        <v>54g</v>
      </c>
    </row>
    <row r="117" spans="1:3" outlineLevel="1">
      <c r="A117" s="2" t="s">
        <v>15</v>
      </c>
      <c r="B117" s="6" t="s">
        <v>14</v>
      </c>
      <c r="C117" s="6" t="str">
        <f t="shared" si="12"/>
        <v>2g</v>
      </c>
    </row>
    <row r="118" spans="1:3" outlineLevel="1">
      <c r="A118" s="7" t="s">
        <v>52</v>
      </c>
      <c r="B118" s="6" t="s">
        <v>16</v>
      </c>
      <c r="C118" s="6" t="str">
        <f t="shared" si="12"/>
        <v>14g</v>
      </c>
    </row>
    <row r="119" spans="1:3" outlineLevel="1">
      <c r="A119" s="7" t="s">
        <v>27</v>
      </c>
      <c r="B119" s="6" t="s">
        <v>66</v>
      </c>
      <c r="C119" s="6" t="str">
        <f t="shared" si="12"/>
        <v>0g</v>
      </c>
    </row>
    <row r="120" spans="1:3" outlineLevel="1">
      <c r="A120" s="7" t="s">
        <v>19</v>
      </c>
      <c r="B120" s="6" t="s">
        <v>119</v>
      </c>
      <c r="C120" s="6" t="str">
        <f t="shared" si="12"/>
        <v>46g</v>
      </c>
    </row>
    <row r="121" spans="1:3">
      <c r="A121" s="26" t="s">
        <v>393</v>
      </c>
      <c r="B121" s="26"/>
    </row>
    <row r="122" spans="1:3" outlineLevel="1">
      <c r="A122" s="7" t="s">
        <v>1</v>
      </c>
      <c r="B122" s="9" t="s">
        <v>388</v>
      </c>
      <c r="C122" s="9" t="s">
        <v>389</v>
      </c>
    </row>
    <row r="123" spans="1:3" outlineLevel="1">
      <c r="A123" s="7" t="s">
        <v>4</v>
      </c>
      <c r="B123" s="2">
        <v>390</v>
      </c>
      <c r="C123" s="6">
        <f>(B123*2)</f>
        <v>780</v>
      </c>
    </row>
    <row r="124" spans="1:3" outlineLevel="1">
      <c r="A124" s="7" t="s">
        <v>5</v>
      </c>
      <c r="B124" s="6" t="s">
        <v>92</v>
      </c>
      <c r="C124" s="6" t="str">
        <f t="shared" ref="C124:C125" si="13">SUM(IF(ISNUMBER( SEARCH("g",B124)), LEFT(B124, LEN(B124)-1)*1, "")*2)&amp;"g"</f>
        <v>42g</v>
      </c>
    </row>
    <row r="125" spans="1:3" outlineLevel="1">
      <c r="A125" s="7" t="s">
        <v>147</v>
      </c>
      <c r="B125" s="6" t="s">
        <v>44</v>
      </c>
      <c r="C125" s="6" t="str">
        <f t="shared" si="13"/>
        <v>18g</v>
      </c>
    </row>
    <row r="126" spans="1:3" outlineLevel="1">
      <c r="A126" s="7" t="s">
        <v>9</v>
      </c>
      <c r="B126" s="6" t="s">
        <v>36</v>
      </c>
      <c r="C126" s="6" t="str">
        <f t="shared" ref="C126:C127" si="14">SUM(IF(ISNUMBER( SEARCH("mg",B126)), LEFT(B126, LEN(B126)-2)*1, "")+(SUM(IF(ISNUMBER( SEARCH("mg",B126)), LEFT(B126, LEN(B126)-2)*1, ""))))&amp;"mg"</f>
        <v>170mg</v>
      </c>
    </row>
    <row r="127" spans="1:3" outlineLevel="1">
      <c r="A127" s="7" t="s">
        <v>49</v>
      </c>
      <c r="B127" s="6" t="s">
        <v>394</v>
      </c>
      <c r="C127" s="6" t="str">
        <f t="shared" si="14"/>
        <v>1180mg</v>
      </c>
    </row>
    <row r="128" spans="1:3" outlineLevel="1">
      <c r="A128" s="7" t="s">
        <v>25</v>
      </c>
      <c r="B128" s="6" t="s">
        <v>206</v>
      </c>
      <c r="C128" s="6" t="str">
        <f t="shared" ref="C128:C131" si="15">SUM(IF(ISNUMBER( SEARCH("g",B128)), LEFT(B128, LEN(B128)-1)*1, "")*2)&amp;"g"</f>
        <v>54g</v>
      </c>
    </row>
    <row r="129" spans="1:3" outlineLevel="1">
      <c r="A129" s="2" t="s">
        <v>15</v>
      </c>
      <c r="B129" s="6" t="s">
        <v>14</v>
      </c>
      <c r="C129" s="6" t="str">
        <f t="shared" si="15"/>
        <v>2g</v>
      </c>
    </row>
    <row r="130" spans="1:3" outlineLevel="1">
      <c r="A130" s="7" t="s">
        <v>52</v>
      </c>
      <c r="B130" s="6" t="s">
        <v>16</v>
      </c>
      <c r="C130" s="6" t="str">
        <f t="shared" si="15"/>
        <v>14g</v>
      </c>
    </row>
    <row r="131" spans="1:3" outlineLevel="1">
      <c r="A131" s="7" t="s">
        <v>27</v>
      </c>
      <c r="B131" s="6" t="s">
        <v>66</v>
      </c>
      <c r="C131" s="6" t="str">
        <f t="shared" si="15"/>
        <v>0g</v>
      </c>
    </row>
    <row r="132" spans="1:3" outlineLevel="1">
      <c r="A132" s="7" t="s">
        <v>19</v>
      </c>
      <c r="B132" s="6" t="s">
        <v>119</v>
      </c>
      <c r="C132" s="6" t="str">
        <f>SUM(IF(ISNUMBER( SEARCH("g",B132)), LEFT(B132, LEN(B132)-1)*1, "")*2)&amp;"g"</f>
        <v>46g</v>
      </c>
    </row>
    <row r="133" spans="1:3">
      <c r="A133" s="26" t="s">
        <v>395</v>
      </c>
      <c r="B133" s="26"/>
    </row>
    <row r="134" spans="1:3" outlineLevel="1">
      <c r="A134" s="7" t="s">
        <v>1</v>
      </c>
      <c r="B134" s="9" t="s">
        <v>388</v>
      </c>
      <c r="C134" s="9" t="s">
        <v>389</v>
      </c>
    </row>
    <row r="135" spans="1:3" outlineLevel="1">
      <c r="A135" s="7" t="s">
        <v>4</v>
      </c>
      <c r="B135" s="2">
        <v>1050</v>
      </c>
      <c r="C135" s="6">
        <f>(B135*2)</f>
        <v>2100</v>
      </c>
    </row>
    <row r="136" spans="1:3" outlineLevel="1">
      <c r="A136" s="7" t="s">
        <v>5</v>
      </c>
      <c r="B136" s="6" t="s">
        <v>179</v>
      </c>
      <c r="C136" s="6" t="str">
        <f t="shared" ref="C136:C137" si="16">SUM(IF(ISNUMBER( SEARCH("g",B136)), LEFT(B136, LEN(B136)-1)*1, "")*2)&amp;"g"</f>
        <v>136g</v>
      </c>
    </row>
    <row r="137" spans="1:3" outlineLevel="1">
      <c r="A137" s="7" t="s">
        <v>147</v>
      </c>
      <c r="B137" s="6" t="s">
        <v>127</v>
      </c>
      <c r="C137" s="6" t="str">
        <f t="shared" si="16"/>
        <v>56g</v>
      </c>
    </row>
    <row r="138" spans="1:3" outlineLevel="1">
      <c r="A138" s="7" t="s">
        <v>9</v>
      </c>
      <c r="B138" s="6" t="s">
        <v>396</v>
      </c>
      <c r="C138" s="6" t="str">
        <f t="shared" ref="C138:C139" si="17">SUM(IF(ISNUMBER( SEARCH("mg",B138)), LEFT(B138, LEN(B138)-2)*1, "")+(SUM(IF(ISNUMBER( SEARCH("mg",B138)), LEFT(B138, LEN(B138)-2)*1, ""))))&amp;"mg"</f>
        <v>470mg</v>
      </c>
    </row>
    <row r="139" spans="1:3" outlineLevel="1">
      <c r="A139" s="7" t="s">
        <v>49</v>
      </c>
      <c r="B139" s="6" t="s">
        <v>397</v>
      </c>
      <c r="C139" s="6" t="str">
        <f t="shared" si="17"/>
        <v>3740mg</v>
      </c>
    </row>
    <row r="140" spans="1:3" outlineLevel="1">
      <c r="A140" s="7" t="s">
        <v>25</v>
      </c>
      <c r="B140" s="6" t="s">
        <v>398</v>
      </c>
      <c r="C140" s="6" t="str">
        <f t="shared" ref="C140:C144" si="18">SUM(IF(ISNUMBER( SEARCH("g",B140)), LEFT(B140, LEN(B140)-1)*1, "")*2)&amp;"g"</f>
        <v>98g</v>
      </c>
    </row>
    <row r="141" spans="1:3" outlineLevel="1">
      <c r="A141" s="2" t="s">
        <v>15</v>
      </c>
      <c r="B141" s="6" t="s">
        <v>14</v>
      </c>
      <c r="C141" s="6" t="str">
        <f t="shared" si="18"/>
        <v>2g</v>
      </c>
    </row>
    <row r="142" spans="1:3" outlineLevel="1">
      <c r="A142" s="7" t="s">
        <v>52</v>
      </c>
      <c r="B142" s="6" t="s">
        <v>96</v>
      </c>
      <c r="C142" s="6" t="str">
        <f t="shared" si="18"/>
        <v>22g</v>
      </c>
    </row>
    <row r="143" spans="1:3" outlineLevel="1">
      <c r="A143" s="7" t="s">
        <v>27</v>
      </c>
      <c r="B143" s="6" t="s">
        <v>66</v>
      </c>
      <c r="C143" s="6" t="str">
        <f t="shared" si="18"/>
        <v>0g</v>
      </c>
    </row>
    <row r="144" spans="1:3" outlineLevel="1">
      <c r="A144" s="7" t="s">
        <v>19</v>
      </c>
      <c r="B144" s="6" t="s">
        <v>308</v>
      </c>
      <c r="C144" s="6" t="str">
        <f t="shared" si="18"/>
        <v>122g</v>
      </c>
    </row>
    <row r="145" spans="1:5">
      <c r="A145" s="26" t="s">
        <v>399</v>
      </c>
      <c r="B145" s="26"/>
    </row>
    <row r="146" spans="1:5" outlineLevel="1">
      <c r="A146" s="7" t="s">
        <v>1</v>
      </c>
      <c r="B146" s="9" t="s">
        <v>400</v>
      </c>
      <c r="C146" s="9" t="s">
        <v>401</v>
      </c>
    </row>
    <row r="147" spans="1:5" outlineLevel="1">
      <c r="A147" s="7" t="s">
        <v>4</v>
      </c>
      <c r="B147" s="6">
        <v>660</v>
      </c>
      <c r="C147" s="6">
        <f>(B147*2)</f>
        <v>1320</v>
      </c>
    </row>
    <row r="148" spans="1:5" outlineLevel="1">
      <c r="A148" s="7" t="s">
        <v>5</v>
      </c>
      <c r="B148" s="6" t="s">
        <v>344</v>
      </c>
      <c r="C148" s="6" t="str">
        <f t="shared" ref="C148:C149" si="19">SUM(IF(ISNUMBER( SEARCH("g",B148)), LEFT(B148, LEN(B148)-1)*1, "")*2)&amp;"g"</f>
        <v>80g</v>
      </c>
    </row>
    <row r="149" spans="1:5" outlineLevel="1">
      <c r="A149" s="7" t="s">
        <v>7</v>
      </c>
      <c r="B149" s="6" t="s">
        <v>87</v>
      </c>
      <c r="C149" s="6" t="str">
        <f t="shared" si="19"/>
        <v>24g</v>
      </c>
    </row>
    <row r="150" spans="1:5" outlineLevel="1">
      <c r="A150" s="7" t="s">
        <v>9</v>
      </c>
      <c r="B150" s="6" t="s">
        <v>110</v>
      </c>
      <c r="C150" s="6" t="str">
        <f t="shared" ref="C150:C151" si="20">SUM(IF(ISNUMBER( SEARCH("mg",B150)), LEFT(B150, LEN(B150)-2)*1, "")+(SUM(IF(ISNUMBER( SEARCH("mg",B150)), LEFT(B150, LEN(B150)-2)*1, ""))))&amp;"mg"</f>
        <v>180mg</v>
      </c>
    </row>
    <row r="151" spans="1:5" outlineLevel="1">
      <c r="A151" s="7" t="s">
        <v>49</v>
      </c>
      <c r="B151" s="6" t="s">
        <v>402</v>
      </c>
      <c r="C151" s="6" t="str">
        <f t="shared" si="20"/>
        <v>1960mg</v>
      </c>
    </row>
    <row r="152" spans="1:5" outlineLevel="1">
      <c r="A152" s="7" t="s">
        <v>25</v>
      </c>
      <c r="B152" s="6" t="s">
        <v>398</v>
      </c>
      <c r="C152" s="6" t="str">
        <f t="shared" ref="C152:C156" si="21">SUM(IF(ISNUMBER( SEARCH("g",B152)), LEFT(B152, LEN(B152)-1)*1, "")*2)&amp;"g"</f>
        <v>98g</v>
      </c>
    </row>
    <row r="153" spans="1:5" outlineLevel="1">
      <c r="A153" s="7" t="s">
        <v>15</v>
      </c>
      <c r="B153" s="6" t="s">
        <v>6</v>
      </c>
      <c r="C153" s="6" t="str">
        <f t="shared" si="21"/>
        <v>4g</v>
      </c>
    </row>
    <row r="154" spans="1:5" outlineLevel="1">
      <c r="A154" s="7" t="s">
        <v>17</v>
      </c>
      <c r="B154" s="6" t="s">
        <v>96</v>
      </c>
      <c r="C154" s="6" t="str">
        <f t="shared" si="21"/>
        <v>22g</v>
      </c>
    </row>
    <row r="155" spans="1:5" outlineLevel="1">
      <c r="A155" s="7" t="s">
        <v>27</v>
      </c>
      <c r="B155" s="6" t="s">
        <v>66</v>
      </c>
      <c r="C155" s="6" t="str">
        <f t="shared" si="21"/>
        <v>0g</v>
      </c>
    </row>
    <row r="156" spans="1:5" outlineLevel="1">
      <c r="A156" s="7" t="s">
        <v>19</v>
      </c>
      <c r="B156" s="6" t="s">
        <v>127</v>
      </c>
      <c r="C156" s="6" t="str">
        <f t="shared" si="21"/>
        <v>56g</v>
      </c>
    </row>
    <row r="157" spans="1:5" ht="15.75" customHeight="1">
      <c r="A157" s="26" t="s">
        <v>403</v>
      </c>
      <c r="B157" s="26"/>
    </row>
    <row r="158" spans="1:5" outlineLevel="1">
      <c r="A158" s="7" t="s">
        <v>1</v>
      </c>
      <c r="B158" s="9" t="s">
        <v>404</v>
      </c>
      <c r="C158" s="9" t="s">
        <v>405</v>
      </c>
      <c r="D158" s="9" t="s">
        <v>406</v>
      </c>
      <c r="E158" s="9" t="s">
        <v>407</v>
      </c>
    </row>
    <row r="159" spans="1:5" outlineLevel="1">
      <c r="A159" s="7" t="s">
        <v>4</v>
      </c>
      <c r="B159" s="6">
        <v>220</v>
      </c>
      <c r="C159" s="6">
        <v>320</v>
      </c>
      <c r="D159" s="6">
        <v>380</v>
      </c>
      <c r="E159" s="6">
        <v>430</v>
      </c>
    </row>
    <row r="160" spans="1:5" outlineLevel="1">
      <c r="A160" s="7" t="s">
        <v>5</v>
      </c>
      <c r="B160" s="6" t="s">
        <v>44</v>
      </c>
      <c r="C160" s="6" t="s">
        <v>35</v>
      </c>
      <c r="D160" s="6" t="s">
        <v>65</v>
      </c>
      <c r="E160" s="6" t="s">
        <v>43</v>
      </c>
    </row>
    <row r="161" spans="1:5" outlineLevel="1">
      <c r="A161" s="7" t="s">
        <v>147</v>
      </c>
      <c r="B161" s="6" t="s">
        <v>30</v>
      </c>
      <c r="C161" s="6" t="s">
        <v>6</v>
      </c>
      <c r="D161" s="6" t="s">
        <v>6</v>
      </c>
      <c r="E161" s="6" t="s">
        <v>75</v>
      </c>
    </row>
    <row r="162" spans="1:5" outlineLevel="1">
      <c r="A162" s="7" t="s">
        <v>9</v>
      </c>
      <c r="B162" s="6" t="s">
        <v>23</v>
      </c>
      <c r="C162" s="6" t="s">
        <v>23</v>
      </c>
      <c r="D162" s="6" t="s">
        <v>23</v>
      </c>
      <c r="E162" s="6" t="s">
        <v>23</v>
      </c>
    </row>
    <row r="163" spans="1:5" outlineLevel="1">
      <c r="A163" s="7" t="s">
        <v>49</v>
      </c>
      <c r="B163" s="6" t="s">
        <v>64</v>
      </c>
      <c r="C163" s="6" t="s">
        <v>357</v>
      </c>
      <c r="D163" s="6" t="s">
        <v>408</v>
      </c>
      <c r="E163" s="6" t="s">
        <v>409</v>
      </c>
    </row>
    <row r="164" spans="1:5" outlineLevel="1">
      <c r="A164" s="7" t="s">
        <v>25</v>
      </c>
      <c r="B164" s="6" t="s">
        <v>410</v>
      </c>
      <c r="C164" s="6" t="s">
        <v>398</v>
      </c>
      <c r="D164" s="6" t="s">
        <v>376</v>
      </c>
      <c r="E164" s="6" t="s">
        <v>199</v>
      </c>
    </row>
    <row r="165" spans="1:5" outlineLevel="1">
      <c r="A165" s="2" t="s">
        <v>15</v>
      </c>
      <c r="B165" s="6" t="s">
        <v>22</v>
      </c>
      <c r="C165" s="6" t="s">
        <v>22</v>
      </c>
      <c r="D165" s="6" t="s">
        <v>22</v>
      </c>
      <c r="E165" s="6" t="s">
        <v>22</v>
      </c>
    </row>
    <row r="166" spans="1:5" outlineLevel="1">
      <c r="A166" s="7" t="s">
        <v>52</v>
      </c>
      <c r="B166" s="6" t="s">
        <v>39</v>
      </c>
      <c r="C166" s="6" t="s">
        <v>39</v>
      </c>
      <c r="D166" s="6" t="s">
        <v>56</v>
      </c>
      <c r="E166" s="6" t="s">
        <v>16</v>
      </c>
    </row>
    <row r="167" spans="1:5" outlineLevel="1">
      <c r="A167" s="7" t="s">
        <v>27</v>
      </c>
      <c r="B167" s="6" t="s">
        <v>66</v>
      </c>
      <c r="C167" s="6" t="s">
        <v>66</v>
      </c>
      <c r="D167" s="6" t="s">
        <v>66</v>
      </c>
      <c r="E167" s="6" t="s">
        <v>66</v>
      </c>
    </row>
    <row r="168" spans="1:5" outlineLevel="1">
      <c r="A168" s="7" t="s">
        <v>19</v>
      </c>
      <c r="B168" s="6" t="s">
        <v>6</v>
      </c>
      <c r="C168" s="6" t="s">
        <v>6</v>
      </c>
      <c r="D168" s="6" t="s">
        <v>37</v>
      </c>
      <c r="E168" s="6" t="s">
        <v>39</v>
      </c>
    </row>
    <row r="181" spans="1:3">
      <c r="A181"/>
      <c r="B181"/>
      <c r="C181"/>
    </row>
    <row r="182" spans="1:3">
      <c r="A182"/>
      <c r="B182"/>
      <c r="C182"/>
    </row>
    <row r="183" spans="1:3" ht="15" customHeight="1">
      <c r="A183"/>
      <c r="B183"/>
      <c r="C183"/>
    </row>
    <row r="184" spans="1:3">
      <c r="A184"/>
      <c r="B184"/>
      <c r="C184"/>
    </row>
    <row r="185" spans="1:3">
      <c r="A185"/>
      <c r="B185"/>
      <c r="C185"/>
    </row>
    <row r="186" spans="1:3">
      <c r="A186"/>
      <c r="B186"/>
      <c r="C186"/>
    </row>
    <row r="187" spans="1:3">
      <c r="A187"/>
      <c r="B187"/>
      <c r="C187"/>
    </row>
    <row r="188" spans="1:3">
      <c r="A188"/>
      <c r="B188"/>
      <c r="C188"/>
    </row>
    <row r="189" spans="1:3">
      <c r="A189"/>
      <c r="B189"/>
      <c r="C189"/>
    </row>
    <row r="190" spans="1:3">
      <c r="A190"/>
      <c r="B190"/>
      <c r="C190"/>
    </row>
    <row r="191" spans="1:3">
      <c r="A191"/>
      <c r="B191"/>
      <c r="C191"/>
    </row>
    <row r="192" spans="1:3">
      <c r="A192"/>
      <c r="B192"/>
      <c r="C192"/>
    </row>
    <row r="193" spans="1:3">
      <c r="A193"/>
      <c r="B193"/>
      <c r="C193"/>
    </row>
    <row r="194" spans="1:3">
      <c r="A194"/>
      <c r="B194"/>
      <c r="C194"/>
    </row>
    <row r="195" spans="1:3">
      <c r="A195"/>
      <c r="B195"/>
      <c r="C195"/>
    </row>
    <row r="196" spans="1:3">
      <c r="A196"/>
      <c r="B196"/>
      <c r="C196"/>
    </row>
    <row r="197" spans="1:3">
      <c r="A197"/>
      <c r="B197"/>
      <c r="C197"/>
    </row>
    <row r="198" spans="1:3">
      <c r="A198"/>
      <c r="B198"/>
      <c r="C198"/>
    </row>
    <row r="199" spans="1:3">
      <c r="A199"/>
      <c r="B199"/>
      <c r="C199"/>
    </row>
    <row r="200" spans="1:3">
      <c r="A200"/>
      <c r="B200"/>
      <c r="C200"/>
    </row>
    <row r="201" spans="1:3">
      <c r="A201"/>
      <c r="B201"/>
      <c r="C201"/>
    </row>
    <row r="202" spans="1:3">
      <c r="A202"/>
      <c r="B202"/>
      <c r="C202"/>
    </row>
    <row r="203" spans="1:3">
      <c r="A203"/>
      <c r="B203"/>
      <c r="C203"/>
    </row>
    <row r="204" spans="1:3">
      <c r="A204"/>
      <c r="B204"/>
      <c r="C204"/>
    </row>
    <row r="205" spans="1:3">
      <c r="A205" s="29" t="s">
        <v>411</v>
      </c>
      <c r="B205" s="29"/>
    </row>
    <row r="206" spans="1:3" outlineLevel="1">
      <c r="A206" s="7" t="s">
        <v>1</v>
      </c>
      <c r="B206" s="9" t="s">
        <v>412</v>
      </c>
      <c r="C206" s="9" t="s">
        <v>413</v>
      </c>
    </row>
    <row r="207" spans="1:3" outlineLevel="1">
      <c r="A207" s="7" t="s">
        <v>4</v>
      </c>
      <c r="B207" s="6">
        <v>130</v>
      </c>
      <c r="C207" s="6">
        <f>B207*4</f>
        <v>520</v>
      </c>
    </row>
    <row r="208" spans="1:3" outlineLevel="1">
      <c r="A208" s="7" t="s">
        <v>5</v>
      </c>
      <c r="B208" s="6" t="s">
        <v>39</v>
      </c>
      <c r="C208" s="6" t="str">
        <f>SUM(IF(ISNUMBER( SEARCH("g",B208)), LEFT(B208, LEN(B208)-1)*1, "")*4)&amp;"g"</f>
        <v>20g</v>
      </c>
    </row>
    <row r="209" spans="1:3" outlineLevel="1">
      <c r="A209" s="7" t="s">
        <v>7</v>
      </c>
      <c r="B209" s="6" t="s">
        <v>22</v>
      </c>
      <c r="C209" s="6" t="str">
        <f>SUM(IF(ISNUMBER( SEARCH("g",B209)), LEFT(B209, LEN(B209)-1)*1, "")*4)&amp;"g"</f>
        <v>12g</v>
      </c>
    </row>
    <row r="210" spans="1:3" outlineLevel="1">
      <c r="A210" s="7" t="s">
        <v>9</v>
      </c>
      <c r="B210" s="6" t="s">
        <v>90</v>
      </c>
      <c r="C210" s="6" t="str">
        <f>SUM(IF(ISNUMBER( SEARCH("mg",B210)), LEFT(B210, LEN(B210)-2)*1, "")*4)&amp;"mg"</f>
        <v>20mg</v>
      </c>
    </row>
    <row r="211" spans="1:3" outlineLevel="1">
      <c r="A211" s="7" t="s">
        <v>49</v>
      </c>
      <c r="B211" s="6" t="s">
        <v>215</v>
      </c>
      <c r="C211" s="6" t="str">
        <f>SUM(IF(ISNUMBER( SEARCH("mg",B211)), LEFT(B211, LEN(B211)-2)*1, "")*4)&amp;"mg"</f>
        <v>80mg</v>
      </c>
    </row>
    <row r="212" spans="1:3" outlineLevel="1">
      <c r="A212" s="7" t="s">
        <v>25</v>
      </c>
      <c r="B212" s="6" t="s">
        <v>42</v>
      </c>
      <c r="C212" s="6" t="str">
        <f t="shared" ref="C212:C216" si="22">SUM(IF(ISNUMBER( SEARCH("g",B212)), LEFT(B212, LEN(B212)-1)*1, "")*4)&amp;"g"</f>
        <v>76g</v>
      </c>
    </row>
    <row r="213" spans="1:3" outlineLevel="1">
      <c r="A213" s="7" t="s">
        <v>15</v>
      </c>
      <c r="B213" s="6" t="s">
        <v>66</v>
      </c>
      <c r="C213" s="6" t="str">
        <f t="shared" si="22"/>
        <v>0g</v>
      </c>
    </row>
    <row r="214" spans="1:3" outlineLevel="1">
      <c r="A214" s="7" t="s">
        <v>17</v>
      </c>
      <c r="B214" s="6" t="s">
        <v>26</v>
      </c>
      <c r="C214" s="6" t="str">
        <f t="shared" si="22"/>
        <v>68g</v>
      </c>
    </row>
    <row r="215" spans="1:3" outlineLevel="1">
      <c r="A215" s="7" t="s">
        <v>27</v>
      </c>
      <c r="B215" s="6" t="s">
        <v>79</v>
      </c>
      <c r="C215" s="6" t="str">
        <f t="shared" si="22"/>
        <v>60g</v>
      </c>
    </row>
    <row r="216" spans="1:3" outlineLevel="1">
      <c r="A216" s="7" t="s">
        <v>19</v>
      </c>
      <c r="B216" s="6" t="s">
        <v>14</v>
      </c>
      <c r="C216" s="6" t="str">
        <f t="shared" si="22"/>
        <v>4g</v>
      </c>
    </row>
  </sheetData>
  <mergeCells count="15">
    <mergeCell ref="A1:B1"/>
    <mergeCell ref="A13:B13"/>
    <mergeCell ref="A145:B145"/>
    <mergeCell ref="A25:B25"/>
    <mergeCell ref="A37:B37"/>
    <mergeCell ref="A49:B49"/>
    <mergeCell ref="A61:B61"/>
    <mergeCell ref="A73:B73"/>
    <mergeCell ref="A85:B85"/>
    <mergeCell ref="A205:B205"/>
    <mergeCell ref="A97:B97"/>
    <mergeCell ref="A121:B121"/>
    <mergeCell ref="A133:B133"/>
    <mergeCell ref="A109:B109"/>
    <mergeCell ref="A157:B157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3E5FA-1EF0-4DE6-861F-F3787FD83B7D}">
  <sheetPr codeName="Sheet12"/>
  <dimension ref="A1:B25"/>
  <sheetViews>
    <sheetView zoomScale="115" zoomScaleNormal="115" workbookViewId="0">
      <selection activeCell="B32" sqref="B32"/>
    </sheetView>
  </sheetViews>
  <sheetFormatPr defaultRowHeight="15" outlineLevelRow="1"/>
  <cols>
    <col min="1" max="1" width="71" customWidth="1"/>
    <col min="2" max="2" width="20.5703125" customWidth="1"/>
  </cols>
  <sheetData>
    <row r="1" spans="1:2">
      <c r="A1" s="1" t="s">
        <v>414</v>
      </c>
    </row>
    <row r="2" spans="1:2" hidden="1" outlineLevel="1">
      <c r="A2" s="4" t="s">
        <v>1</v>
      </c>
      <c r="B2" s="5" t="s">
        <v>415</v>
      </c>
    </row>
    <row r="3" spans="1:2" hidden="1" outlineLevel="1">
      <c r="A3" s="4" t="s">
        <v>4</v>
      </c>
      <c r="B3" s="3">
        <v>620</v>
      </c>
    </row>
    <row r="4" spans="1:2" hidden="1" outlineLevel="1">
      <c r="A4" s="4" t="s">
        <v>5</v>
      </c>
      <c r="B4" s="3" t="s">
        <v>277</v>
      </c>
    </row>
    <row r="5" spans="1:2" hidden="1" outlineLevel="1">
      <c r="A5" s="4" t="s">
        <v>7</v>
      </c>
      <c r="B5" s="3" t="s">
        <v>35</v>
      </c>
    </row>
    <row r="6" spans="1:2" hidden="1" outlineLevel="1">
      <c r="A6" s="4" t="s">
        <v>9</v>
      </c>
      <c r="B6" s="3" t="s">
        <v>416</v>
      </c>
    </row>
    <row r="7" spans="1:2" hidden="1" outlineLevel="1">
      <c r="A7" s="4" t="s">
        <v>49</v>
      </c>
      <c r="B7" s="3" t="s">
        <v>417</v>
      </c>
    </row>
    <row r="8" spans="1:2" hidden="1" outlineLevel="1">
      <c r="A8" s="4" t="s">
        <v>25</v>
      </c>
      <c r="B8" s="3" t="s">
        <v>308</v>
      </c>
    </row>
    <row r="9" spans="1:2" hidden="1" outlineLevel="1">
      <c r="A9" s="4" t="s">
        <v>15</v>
      </c>
      <c r="B9" s="3" t="s">
        <v>39</v>
      </c>
    </row>
    <row r="10" spans="1:2" hidden="1" outlineLevel="1">
      <c r="A10" s="4" t="s">
        <v>17</v>
      </c>
      <c r="B10" s="3" t="s">
        <v>73</v>
      </c>
    </row>
    <row r="11" spans="1:2" hidden="1" outlineLevel="1">
      <c r="A11" s="4" t="s">
        <v>27</v>
      </c>
      <c r="B11" s="3" t="s">
        <v>66</v>
      </c>
    </row>
    <row r="12" spans="1:2" hidden="1" outlineLevel="1">
      <c r="A12" s="4" t="s">
        <v>19</v>
      </c>
      <c r="B12" s="3" t="s">
        <v>127</v>
      </c>
    </row>
    <row r="13" spans="1:2" collapsed="1">
      <c r="B13" s="3"/>
    </row>
    <row r="14" spans="1:2" hidden="1">
      <c r="B14" s="5" t="s">
        <v>418</v>
      </c>
    </row>
    <row r="15" spans="1:2" hidden="1">
      <c r="B15" s="3" t="s">
        <v>419</v>
      </c>
    </row>
    <row r="16" spans="1:2" hidden="1">
      <c r="B16" s="3" t="s">
        <v>91</v>
      </c>
    </row>
    <row r="17" spans="2:2" hidden="1">
      <c r="B17" s="3" t="s">
        <v>79</v>
      </c>
    </row>
    <row r="18" spans="2:2" hidden="1">
      <c r="B18" s="3" t="s">
        <v>420</v>
      </c>
    </row>
    <row r="19" spans="2:2" hidden="1">
      <c r="B19" s="3" t="s">
        <v>362</v>
      </c>
    </row>
    <row r="20" spans="2:2" hidden="1">
      <c r="B20" s="3" t="s">
        <v>195</v>
      </c>
    </row>
    <row r="21" spans="2:2" hidden="1">
      <c r="B21" s="3" t="s">
        <v>39</v>
      </c>
    </row>
    <row r="22" spans="2:2" hidden="1">
      <c r="B22" s="3" t="s">
        <v>44</v>
      </c>
    </row>
    <row r="23" spans="2:2" hidden="1">
      <c r="B23" s="3" t="s">
        <v>66</v>
      </c>
    </row>
    <row r="24" spans="2:2" hidden="1">
      <c r="B24" s="3" t="s">
        <v>230</v>
      </c>
    </row>
    <row r="25" spans="2:2" collapsed="1"/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73092-DD1F-4D49-BEF4-3077043202A1}">
  <sheetPr codeName="Sheet9"/>
  <dimension ref="A1:M50"/>
  <sheetViews>
    <sheetView zoomScale="115" zoomScaleNormal="115" workbookViewId="0">
      <selection activeCell="D13" sqref="D13"/>
    </sheetView>
  </sheetViews>
  <sheetFormatPr defaultRowHeight="15" outlineLevelRow="1"/>
  <cols>
    <col min="1" max="1" width="34.42578125" customWidth="1"/>
    <col min="2" max="2" width="33.140625" customWidth="1"/>
    <col min="3" max="3" width="13.7109375" customWidth="1"/>
    <col min="4" max="4" width="12.5703125" customWidth="1"/>
    <col min="5" max="5" width="16.5703125" customWidth="1"/>
    <col min="6" max="6" width="17.85546875" customWidth="1"/>
    <col min="7" max="8" width="16.28515625" customWidth="1"/>
    <col min="9" max="9" width="10.5703125" customWidth="1"/>
    <col min="10" max="10" width="10.7109375" customWidth="1"/>
    <col min="11" max="11" width="12.7109375" customWidth="1"/>
  </cols>
  <sheetData>
    <row r="1" spans="1:12">
      <c r="A1" s="10" t="s">
        <v>421</v>
      </c>
      <c r="B1" s="11" t="s">
        <v>1</v>
      </c>
      <c r="C1" s="8" t="s">
        <v>4</v>
      </c>
      <c r="D1" s="8" t="s">
        <v>5</v>
      </c>
      <c r="E1" s="8" t="s">
        <v>147</v>
      </c>
      <c r="F1" s="8" t="s">
        <v>9</v>
      </c>
      <c r="G1" s="8" t="s">
        <v>49</v>
      </c>
      <c r="H1" s="8" t="s">
        <v>25</v>
      </c>
      <c r="I1" s="8" t="s">
        <v>15</v>
      </c>
      <c r="J1" s="8" t="s">
        <v>17</v>
      </c>
      <c r="K1" s="8" t="s">
        <v>27</v>
      </c>
      <c r="L1" s="8" t="s">
        <v>19</v>
      </c>
    </row>
    <row r="2" spans="1:12">
      <c r="A2" s="12" t="s">
        <v>422</v>
      </c>
      <c r="B2" s="12" t="s">
        <v>423</v>
      </c>
      <c r="C2" s="13">
        <f>SUM(C3:C6)</f>
        <v>358</v>
      </c>
      <c r="D2" s="13" t="str" cm="1">
        <f t="array" ref="D2">SUM(IF(ISNUMBER( SEARCH("g",D3:D6)), LEFT(D3:D6, LEN(D3:D6)-1)*1, ""))&amp;"g"</f>
        <v>19.5g</v>
      </c>
      <c r="E2" s="13" t="str" cm="1">
        <f t="array" ref="E2">SUM(IF(ISNUMBER( SEARCH("g",E3:E6)), LEFT(E3:E6, LEN(E3:E6)-1)*1, ""))&amp;"g"</f>
        <v>5g</v>
      </c>
      <c r="F2" s="13" t="str" cm="1">
        <f t="array" ref="F2">SUM(IF(ISNUMBER( SEARCH("mg",F3:F6)), LEFT(F3:F6, LEN(F3:F6)-2)*1, ""))&amp;"mg"</f>
        <v>44mg</v>
      </c>
      <c r="G2" s="13" t="str" cm="1">
        <f t="array" ref="G2">SUM(IF(ISNUMBER( SEARCH("mg",G3:G6)), LEFT(G3:G6, LEN(G3:G6)-2)*1, ""))&amp;"mg"</f>
        <v>933mg</v>
      </c>
      <c r="H2" s="13" t="str" cm="1">
        <f t="array" ref="H2">SUM(IF(ISNUMBER( SEARCH("g",H3:H6)), LEFT(H3:H6, LEN(H3:H6)-1)*1, ""))&amp;"g"</f>
        <v>31.5g</v>
      </c>
      <c r="I2" s="13" t="str" cm="1">
        <f t="array" ref="I2">SUM(IF(ISNUMBER( SEARCH("g",I3:I6)), LEFT(I3:I6, LEN(I3:I6)-1)*1, ""))&amp;"g"</f>
        <v>4g</v>
      </c>
      <c r="J2" s="13" t="str" cm="1">
        <f t="array" ref="J2">SUM(IF(ISNUMBER( SEARCH("g",J3:J6)), LEFT(J3:J6, LEN(J3:J6)-1)*1, ""))&amp;"g"</f>
        <v>3.5g</v>
      </c>
      <c r="K2" s="13" t="str" cm="1">
        <f t="array" ref="K2">SUM(IF(ISNUMBER( SEARCH("g",K3:K6)), LEFT(K3:K6, LEN(K3:K6)-1)*1, ""))&amp;"g"</f>
        <v>2g</v>
      </c>
      <c r="L2" s="13" t="str" cm="1">
        <f t="array" ref="L2">SUM(IF(ISNUMBER( SEARCH("g",L3:L6)), LEFT(L3:L6, LEN(L3:L6)-1)*1, ""))&amp;"g"</f>
        <v>19g</v>
      </c>
    </row>
    <row r="3" spans="1:12" hidden="1" outlineLevel="1">
      <c r="A3" s="2"/>
      <c r="B3" s="7" t="s">
        <v>424</v>
      </c>
      <c r="C3" s="6">
        <v>38</v>
      </c>
      <c r="D3" s="6" t="s">
        <v>30</v>
      </c>
      <c r="E3" s="6" t="s">
        <v>66</v>
      </c>
      <c r="F3" s="6" t="s">
        <v>12</v>
      </c>
      <c r="G3" s="6" t="s">
        <v>425</v>
      </c>
      <c r="H3" s="6" t="s">
        <v>30</v>
      </c>
      <c r="I3" s="6" t="s">
        <v>66</v>
      </c>
      <c r="J3" s="6" t="s">
        <v>30</v>
      </c>
      <c r="K3" s="6" t="s">
        <v>66</v>
      </c>
      <c r="L3" s="6" t="s">
        <v>56</v>
      </c>
    </row>
    <row r="4" spans="1:12" hidden="1" outlineLevel="1">
      <c r="A4" s="2"/>
      <c r="B4" s="7" t="s">
        <v>426</v>
      </c>
      <c r="C4" s="6">
        <v>70</v>
      </c>
      <c r="D4" s="6" t="s">
        <v>56</v>
      </c>
      <c r="E4" s="6" t="s">
        <v>29</v>
      </c>
      <c r="F4" s="6" t="s">
        <v>215</v>
      </c>
      <c r="G4" s="6" t="s">
        <v>276</v>
      </c>
      <c r="H4" s="6" t="s">
        <v>66</v>
      </c>
      <c r="I4" s="6" t="s">
        <v>66</v>
      </c>
      <c r="J4" s="6" t="s">
        <v>66</v>
      </c>
      <c r="K4" s="6" t="s">
        <v>66</v>
      </c>
      <c r="L4" s="6" t="s">
        <v>39</v>
      </c>
    </row>
    <row r="5" spans="1:12" hidden="1" outlineLevel="1">
      <c r="A5" s="2"/>
      <c r="B5" s="7" t="s">
        <v>427</v>
      </c>
      <c r="C5" s="6">
        <v>90</v>
      </c>
      <c r="D5" s="6" t="s">
        <v>122</v>
      </c>
      <c r="E5" s="6" t="s">
        <v>30</v>
      </c>
      <c r="F5" s="6" t="s">
        <v>90</v>
      </c>
      <c r="G5" s="6" t="s">
        <v>24</v>
      </c>
      <c r="H5" s="6" t="s">
        <v>66</v>
      </c>
      <c r="I5" s="6" t="s">
        <v>66</v>
      </c>
      <c r="J5" s="6" t="s">
        <v>66</v>
      </c>
      <c r="K5" s="6" t="s">
        <v>66</v>
      </c>
      <c r="L5" s="6" t="s">
        <v>66</v>
      </c>
    </row>
    <row r="6" spans="1:12" hidden="1" outlineLevel="1">
      <c r="B6" s="7" t="s">
        <v>428</v>
      </c>
      <c r="C6" s="6">
        <v>160</v>
      </c>
      <c r="D6" s="6" t="s">
        <v>6</v>
      </c>
      <c r="E6" s="6" t="s">
        <v>66</v>
      </c>
      <c r="F6" s="6" t="s">
        <v>23</v>
      </c>
      <c r="G6" s="6" t="s">
        <v>357</v>
      </c>
      <c r="H6" s="6" t="s">
        <v>277</v>
      </c>
      <c r="I6" s="6" t="s">
        <v>37</v>
      </c>
      <c r="J6" s="6" t="s">
        <v>6</v>
      </c>
      <c r="K6" s="6" t="s">
        <v>6</v>
      </c>
      <c r="L6" s="6" t="s">
        <v>63</v>
      </c>
    </row>
    <row r="7" spans="1:12" collapsed="1">
      <c r="A7" s="12" t="s">
        <v>429</v>
      </c>
      <c r="B7" s="14" t="s">
        <v>423</v>
      </c>
      <c r="C7" s="13">
        <f>SUM(C8:C11)</f>
        <v>716</v>
      </c>
      <c r="D7" s="13" t="str" cm="1">
        <f t="array" ref="D7">SUM(IF(ISNUMBER( SEARCH("g",D8:D11)), LEFT(D8:D11, LEN(D8:D11)-1)*1, ""))&amp;"g"</f>
        <v>39g</v>
      </c>
      <c r="E7" s="13" t="str" cm="1">
        <f t="array" ref="E7">SUM(IF(ISNUMBER( SEARCH("g",E8:E11)), LEFT(E8:E11, LEN(E8:E11)-1)*1, ""))&amp;"g"</f>
        <v>8.5g</v>
      </c>
      <c r="F7" s="13" t="str" cm="1">
        <f t="array" ref="F7">SUM(IF(ISNUMBER( SEARCH("mg",F8:F11)), LEFT(F8:F11, LEN(F8:F11)-2)*1, ""))&amp;"mg"</f>
        <v>88mg</v>
      </c>
      <c r="G7" s="13" t="str" cm="1">
        <f t="array" ref="G7">SUM(IF(ISNUMBER( SEARCH("mg",G8:G11)), LEFT(G8:G11, LEN(G8:G11)-2)*1, ""))&amp;"mg"</f>
        <v>1866mg</v>
      </c>
      <c r="H7" s="13" t="str" cm="1">
        <f t="array" ref="H7">SUM(IF(ISNUMBER( SEARCH("g",H8:H11)), LEFT(H8:H11, LEN(H8:H11)-1)*1, ""))&amp;"g"</f>
        <v>63g</v>
      </c>
      <c r="I7" s="13" t="str" cm="1">
        <f t="array" ref="I7">SUM(IF(ISNUMBER( SEARCH("g",I8:I11)), LEFT(I8:I11, LEN(I8:I11)-1)*1, ""))&amp;"g"</f>
        <v>8g</v>
      </c>
      <c r="J7" s="13" t="str" cm="1">
        <f t="array" ref="J7">SUM(IF(ISNUMBER( SEARCH("g",J8:J11)), LEFT(J8:J11, LEN(J8:J11)-1)*1, ""))&amp;"g"</f>
        <v>7g</v>
      </c>
      <c r="K7" s="13" t="str" cm="1">
        <f t="array" ref="K7">SUM(IF(ISNUMBER( SEARCH("g",K8:K11)), LEFT(K8:K11, LEN(K8:K11)-1)*1, ""))&amp;"g"</f>
        <v>4g</v>
      </c>
      <c r="L7" s="13" t="str" cm="1">
        <f t="array" ref="L7">SUM(IF(ISNUMBER( SEARCH("g",L8:L11)), LEFT(L8:L11, LEN(L8:L11)-1)*1, ""))&amp;"g"</f>
        <v>38g</v>
      </c>
    </row>
    <row r="8" spans="1:12" hidden="1" outlineLevel="1">
      <c r="A8" s="2"/>
      <c r="B8" s="7" t="s">
        <v>430</v>
      </c>
      <c r="C8" s="6">
        <f>SUM(C3*2)</f>
        <v>76</v>
      </c>
      <c r="D8" s="6" t="s">
        <v>22</v>
      </c>
      <c r="E8" s="6" t="s">
        <v>66</v>
      </c>
      <c r="F8" s="6" t="s">
        <v>431</v>
      </c>
      <c r="G8" s="6" t="s">
        <v>432</v>
      </c>
      <c r="H8" s="6" t="s">
        <v>22</v>
      </c>
      <c r="I8" s="6" t="s">
        <v>66</v>
      </c>
      <c r="J8" s="6" t="s">
        <v>22</v>
      </c>
      <c r="K8" s="6" t="s">
        <v>66</v>
      </c>
      <c r="L8" s="6" t="s">
        <v>87</v>
      </c>
    </row>
    <row r="9" spans="1:12" hidden="1" outlineLevel="1">
      <c r="A9" s="2"/>
      <c r="B9" s="7" t="s">
        <v>433</v>
      </c>
      <c r="C9" s="6">
        <f>SUM(C4*2)</f>
        <v>140</v>
      </c>
      <c r="D9" s="6" t="s">
        <v>87</v>
      </c>
      <c r="E9" s="6" t="s">
        <v>16</v>
      </c>
      <c r="F9" s="6" t="s">
        <v>265</v>
      </c>
      <c r="G9" s="6" t="s">
        <v>434</v>
      </c>
      <c r="H9" s="6" t="s">
        <v>66</v>
      </c>
      <c r="I9" s="6" t="s">
        <v>66</v>
      </c>
      <c r="J9" s="6" t="s">
        <v>66</v>
      </c>
      <c r="K9" s="6" t="s">
        <v>66</v>
      </c>
      <c r="L9" s="6" t="s">
        <v>122</v>
      </c>
    </row>
    <row r="10" spans="1:12" hidden="1" outlineLevel="1">
      <c r="A10" s="2"/>
      <c r="B10" s="7" t="s">
        <v>435</v>
      </c>
      <c r="C10" s="6">
        <f>SUM(C5*2)</f>
        <v>180</v>
      </c>
      <c r="D10" s="6" t="s">
        <v>53</v>
      </c>
      <c r="E10" s="6" t="s">
        <v>30</v>
      </c>
      <c r="F10" s="6" t="s">
        <v>72</v>
      </c>
      <c r="G10" s="6" t="s">
        <v>436</v>
      </c>
      <c r="H10" s="6" t="s">
        <v>66</v>
      </c>
      <c r="I10" s="6" t="s">
        <v>66</v>
      </c>
      <c r="J10" s="6" t="s">
        <v>66</v>
      </c>
      <c r="K10" s="6" t="s">
        <v>66</v>
      </c>
      <c r="L10" s="6" t="s">
        <v>66</v>
      </c>
    </row>
    <row r="11" spans="1:12" hidden="1" outlineLevel="1">
      <c r="B11" s="7" t="s">
        <v>428</v>
      </c>
      <c r="C11" s="6">
        <f>SUM(C6*2)</f>
        <v>320</v>
      </c>
      <c r="D11" s="6" t="s">
        <v>37</v>
      </c>
      <c r="E11" s="6" t="s">
        <v>66</v>
      </c>
      <c r="F11" s="6" t="s">
        <v>23</v>
      </c>
      <c r="G11" s="6" t="s">
        <v>181</v>
      </c>
      <c r="H11" s="6" t="s">
        <v>168</v>
      </c>
      <c r="I11" s="6" t="s">
        <v>63</v>
      </c>
      <c r="J11" s="6" t="s">
        <v>37</v>
      </c>
      <c r="K11" s="6" t="s">
        <v>37</v>
      </c>
      <c r="L11" s="6" t="s">
        <v>65</v>
      </c>
    </row>
    <row r="12" spans="1:12" collapsed="1">
      <c r="A12" s="10" t="s">
        <v>437</v>
      </c>
      <c r="B12" s="11" t="s">
        <v>1</v>
      </c>
      <c r="C12" s="8" t="s">
        <v>4</v>
      </c>
      <c r="D12" s="8" t="s">
        <v>5</v>
      </c>
      <c r="E12" s="8" t="s">
        <v>147</v>
      </c>
      <c r="F12" s="8" t="s">
        <v>9</v>
      </c>
      <c r="G12" s="8" t="s">
        <v>49</v>
      </c>
      <c r="H12" s="8" t="s">
        <v>25</v>
      </c>
      <c r="I12" s="8" t="s">
        <v>15</v>
      </c>
      <c r="J12" s="8" t="s">
        <v>17</v>
      </c>
      <c r="K12" s="8" t="s">
        <v>27</v>
      </c>
      <c r="L12" s="8" t="s">
        <v>19</v>
      </c>
    </row>
    <row r="13" spans="1:12">
      <c r="A13" s="12" t="s">
        <v>422</v>
      </c>
      <c r="B13" s="14" t="s">
        <v>423</v>
      </c>
      <c r="C13" s="13">
        <f>SUM(C14:C16)</f>
        <v>290</v>
      </c>
      <c r="D13" s="13" t="str" cm="1">
        <f t="array" ref="D13">SUM(IF(ISNUMBER( SEARCH("g",D14:D16)), LEFT(D14:D16, LEN(D14:D16)-1)*1, ""))&amp;"g"</f>
        <v>10g</v>
      </c>
      <c r="E13" s="13" t="str" cm="1">
        <f t="array" ref="E13">SUM(IF(ISNUMBER( SEARCH("g",E14:E16)), LEFT(E14:E16, LEN(E14:E16)-1)*1, ""))&amp;"g"</f>
        <v>2g</v>
      </c>
      <c r="F13" s="13" t="str" cm="1">
        <f t="array" ref="F13">SUM(IF(ISNUMBER( SEARCH("mg",F14:F16)), LEFT(F14:F16, LEN(F14:F16)-2)*1, ""))&amp;"mg"</f>
        <v>0mg</v>
      </c>
      <c r="G13" s="13" t="str" cm="1">
        <f t="array" ref="G13">SUM(IF(ISNUMBER( SEARCH("mg",G14:G16)), LEFT(G14:G16, LEN(G14:G16)-2)*1, ""))&amp;"mg"</f>
        <v>370mg</v>
      </c>
      <c r="H13" s="13" t="str" cm="1">
        <f t="array" ref="H13">SUM(IF(ISNUMBER( SEARCH("g",H14:H16)), LEFT(H14:H16, LEN(H14:H16)-1)*1, ""))&amp;"g"</f>
        <v>43g</v>
      </c>
      <c r="I13" s="13" t="str" cm="1">
        <f t="array" ref="I13">SUM(IF(ISNUMBER( SEARCH("g",I14:I16)), LEFT(I14:I16, LEN(I14:I16)-1)*1, ""))&amp;"g"</f>
        <v>5g</v>
      </c>
      <c r="J13" s="13" t="str" cm="1">
        <f t="array" ref="J13">SUM(IF(ISNUMBER( SEARCH("g",J14:J16)), LEFT(J14:J16, LEN(J14:J16)-1)*1, ""))&amp;"g"</f>
        <v>13g</v>
      </c>
      <c r="K13" s="13" t="str" cm="1">
        <f t="array" ref="K13">SUM(IF(ISNUMBER( SEARCH("g",K14:K16)), LEFT(K14:K16, LEN(K14:K16)-1)*1, ""))&amp;"g"</f>
        <v>11g</v>
      </c>
      <c r="L13" s="13" t="str" cm="1">
        <f t="array" ref="L13">SUM(IF(ISNUMBER( SEARCH("g",L14:L16)), LEFT(L14:L16, LEN(L14:L16)-1)*1, ""))&amp;"g"</f>
        <v>11.5g</v>
      </c>
    </row>
    <row r="14" spans="1:12" hidden="1" outlineLevel="1">
      <c r="A14" s="2"/>
      <c r="B14" s="7" t="s">
        <v>438</v>
      </c>
      <c r="C14" s="6">
        <v>95</v>
      </c>
      <c r="D14" s="6" t="s">
        <v>63</v>
      </c>
      <c r="E14" s="6" t="s">
        <v>6</v>
      </c>
      <c r="F14" s="6" t="s">
        <v>23</v>
      </c>
      <c r="G14" s="6" t="s">
        <v>31</v>
      </c>
      <c r="H14" s="6" t="s">
        <v>37</v>
      </c>
      <c r="I14" s="6" t="s">
        <v>14</v>
      </c>
      <c r="J14" s="6" t="s">
        <v>6</v>
      </c>
      <c r="K14" s="6" t="s">
        <v>14</v>
      </c>
      <c r="L14" s="6" t="s">
        <v>29</v>
      </c>
    </row>
    <row r="15" spans="1:12" hidden="1" outlineLevel="1">
      <c r="A15" s="2"/>
      <c r="B15" s="7" t="s">
        <v>439</v>
      </c>
      <c r="C15" s="6">
        <v>35</v>
      </c>
      <c r="D15" s="6" t="s">
        <v>66</v>
      </c>
      <c r="E15" s="6" t="s">
        <v>66</v>
      </c>
      <c r="F15" s="6" t="s">
        <v>23</v>
      </c>
      <c r="G15" s="6" t="s">
        <v>23</v>
      </c>
      <c r="H15" s="6" t="s">
        <v>44</v>
      </c>
      <c r="I15" s="6" t="s">
        <v>66</v>
      </c>
      <c r="J15" s="6" t="s">
        <v>44</v>
      </c>
      <c r="K15" s="6" t="s">
        <v>63</v>
      </c>
      <c r="L15" s="6" t="s">
        <v>66</v>
      </c>
    </row>
    <row r="16" spans="1:12" hidden="1" outlineLevel="1">
      <c r="B16" s="7" t="s">
        <v>428</v>
      </c>
      <c r="C16" s="6">
        <v>160</v>
      </c>
      <c r="D16" s="6" t="s">
        <v>6</v>
      </c>
      <c r="E16" s="6" t="s">
        <v>66</v>
      </c>
      <c r="F16" s="6" t="s">
        <v>23</v>
      </c>
      <c r="G16" s="6" t="s">
        <v>357</v>
      </c>
      <c r="H16" s="6" t="s">
        <v>277</v>
      </c>
      <c r="I16" s="6" t="s">
        <v>37</v>
      </c>
      <c r="J16" s="6" t="s">
        <v>6</v>
      </c>
      <c r="K16" s="6" t="s">
        <v>6</v>
      </c>
      <c r="L16" s="6" t="s">
        <v>63</v>
      </c>
    </row>
    <row r="17" spans="1:12" collapsed="1">
      <c r="A17" s="12" t="s">
        <v>429</v>
      </c>
      <c r="B17" s="14" t="s">
        <v>423</v>
      </c>
      <c r="C17" s="15">
        <f>SUM(C18:C20)</f>
        <v>580</v>
      </c>
      <c r="D17" s="13" t="str" cm="1">
        <f t="array" ref="D17">SUM(IF(ISNUMBER( SEARCH("g",D18:D20)), LEFT(D18:D20, LEN(D18:D20)-1)*1, ""))&amp;"g"</f>
        <v>20g</v>
      </c>
      <c r="E17" s="13" t="str" cm="1">
        <f t="array" ref="E17">SUM(IF(ISNUMBER( SEARCH("g",E18:E20)), LEFT(E18:E20, LEN(E18:E20)-1)*1, ""))&amp;"g"</f>
        <v>4g</v>
      </c>
      <c r="F17" s="13" t="str" cm="1">
        <f t="array" ref="F17">SUM(IF(ISNUMBER( SEARCH("mg",F18:F20)), LEFT(F18:F20, LEN(F18:F20)-2)*1, ""))&amp;"mg"</f>
        <v>0mg</v>
      </c>
      <c r="G17" s="13" t="str" cm="1">
        <f t="array" ref="G17">SUM(IF(ISNUMBER( SEARCH("mg",G18:G20)), LEFT(G18:G20, LEN(G18:G20)-2)*1, ""))&amp;"mg"</f>
        <v>770mg</v>
      </c>
      <c r="H17" s="13" t="str" cm="1">
        <f t="array" ref="H17">SUM(IF(ISNUMBER( SEARCH("g",H18:H20)), LEFT(H18:H20, LEN(H18:H20)-1)*1, ""))&amp;"g"</f>
        <v>86g</v>
      </c>
      <c r="I17" s="13" t="str" cm="1">
        <f t="array" ref="I17">SUM(IF(ISNUMBER( SEARCH("g",I18:I20)), LEFT(I18:I20, LEN(I18:I20)-1)*1, ""))&amp;"g"</f>
        <v>10g</v>
      </c>
      <c r="J17" s="13" t="str" cm="1">
        <f t="array" ref="J17">SUM(IF(ISNUMBER( SEARCH("g",J18:J20)), LEFT(J18:J20, LEN(J18:J20)-1)*1, ""))&amp;"g"</f>
        <v>27g</v>
      </c>
      <c r="K17" s="13" t="str" cm="1">
        <f t="array" ref="K17">SUM(IF(ISNUMBER( SEARCH("g",K18:K20)), LEFT(K18:K20, LEN(K18:K20)-1)*1, ""))&amp;"g"</f>
        <v>22g</v>
      </c>
      <c r="L17" s="13" t="str" cm="1">
        <f t="array" ref="L17">SUM(IF(ISNUMBER( SEARCH("g",L18:L20)), LEFT(L18:L20, LEN(L18:L20)-1)*1, ""))&amp;"g"</f>
        <v>23g</v>
      </c>
    </row>
    <row r="18" spans="1:12" hidden="1" outlineLevel="1">
      <c r="A18" s="2"/>
      <c r="B18" s="7" t="s">
        <v>440</v>
      </c>
      <c r="C18" s="6">
        <v>190</v>
      </c>
      <c r="D18" s="6" t="s">
        <v>65</v>
      </c>
      <c r="E18" s="6" t="s">
        <v>37</v>
      </c>
      <c r="F18" s="6" t="s">
        <v>23</v>
      </c>
      <c r="G18" s="6" t="s">
        <v>441</v>
      </c>
      <c r="H18" s="6" t="s">
        <v>63</v>
      </c>
      <c r="I18" s="6" t="s">
        <v>6</v>
      </c>
      <c r="J18" s="6" t="s">
        <v>37</v>
      </c>
      <c r="K18" s="6" t="s">
        <v>6</v>
      </c>
      <c r="L18" s="6" t="s">
        <v>16</v>
      </c>
    </row>
    <row r="19" spans="1:12" hidden="1" outlineLevel="1">
      <c r="A19" s="2"/>
      <c r="B19" s="7" t="s">
        <v>442</v>
      </c>
      <c r="C19" s="6">
        <v>70</v>
      </c>
      <c r="D19" s="6" t="s">
        <v>66</v>
      </c>
      <c r="E19" s="6" t="s">
        <v>66</v>
      </c>
      <c r="F19" s="6" t="s">
        <v>23</v>
      </c>
      <c r="G19" s="6" t="s">
        <v>23</v>
      </c>
      <c r="H19" s="6" t="s">
        <v>43</v>
      </c>
      <c r="I19" s="6" t="s">
        <v>66</v>
      </c>
      <c r="J19" s="6" t="s">
        <v>42</v>
      </c>
      <c r="K19" s="6" t="s">
        <v>65</v>
      </c>
      <c r="L19" s="6" t="s">
        <v>66</v>
      </c>
    </row>
    <row r="20" spans="1:12" hidden="1" outlineLevel="1">
      <c r="B20" s="7" t="s">
        <v>443</v>
      </c>
      <c r="C20" s="6">
        <v>320</v>
      </c>
      <c r="D20" s="6" t="s">
        <v>37</v>
      </c>
      <c r="E20" s="6" t="s">
        <v>66</v>
      </c>
      <c r="F20" s="6" t="s">
        <v>23</v>
      </c>
      <c r="G20" s="6" t="s">
        <v>181</v>
      </c>
      <c r="H20" s="6" t="s">
        <v>168</v>
      </c>
      <c r="I20" s="6" t="s">
        <v>63</v>
      </c>
      <c r="J20" s="6" t="s">
        <v>37</v>
      </c>
      <c r="K20" s="6" t="s">
        <v>37</v>
      </c>
      <c r="L20" s="6" t="s">
        <v>65</v>
      </c>
    </row>
    <row r="21" spans="1:12" collapsed="1">
      <c r="A21" s="10" t="s">
        <v>444</v>
      </c>
      <c r="B21" s="11" t="s">
        <v>1</v>
      </c>
      <c r="C21" s="8" t="s">
        <v>4</v>
      </c>
      <c r="D21" s="8" t="s">
        <v>5</v>
      </c>
      <c r="E21" s="8" t="s">
        <v>147</v>
      </c>
      <c r="F21" s="8" t="s">
        <v>9</v>
      </c>
      <c r="G21" s="8" t="s">
        <v>49</v>
      </c>
      <c r="H21" s="8" t="s">
        <v>25</v>
      </c>
      <c r="I21" s="8" t="s">
        <v>15</v>
      </c>
      <c r="J21" s="8" t="s">
        <v>17</v>
      </c>
      <c r="K21" s="8" t="s">
        <v>27</v>
      </c>
      <c r="L21" s="8" t="s">
        <v>19</v>
      </c>
    </row>
    <row r="22" spans="1:12">
      <c r="A22" s="12" t="s">
        <v>445</v>
      </c>
      <c r="B22" s="14" t="s">
        <v>423</v>
      </c>
      <c r="C22" s="13">
        <f>SUM(C23:C25)</f>
        <v>410</v>
      </c>
      <c r="D22" s="13" t="str" cm="1">
        <f t="array" ref="D22">SUM(IF(ISNUMBER( SEARCH("g",D23:D25)), LEFT(D23:D25, LEN(D23:D25)-1)*1, ""))&amp;"g"</f>
        <v>27g</v>
      </c>
      <c r="E22" s="13" t="str" cm="1">
        <f t="array" ref="E22">SUM(IF(ISNUMBER( SEARCH("g",E23:E25)), LEFT(E23:E25, LEN(E23:E25)-1)*1, ""))&amp;"g"</f>
        <v>4.5g</v>
      </c>
      <c r="F22" s="13" t="str" cm="1">
        <f t="array" ref="F22">SUM(IF(ISNUMBER( SEARCH("mg",F23:F25)), LEFT(F23:F25, LEN(F23:F25)-2)*1, ""))&amp;"mg"</f>
        <v>195mg</v>
      </c>
      <c r="G22" s="13" t="str" cm="1">
        <f t="array" ref="G22">SUM(IF(ISNUMBER( SEARCH("mg",G23:G25)), LEFT(G23:G25, LEN(G23:G25)-2)*1, ""))&amp;"mg"</f>
        <v>560mg</v>
      </c>
      <c r="H22" s="13" t="str" cm="1">
        <f t="array" ref="H22">SUM(IF(ISNUMBER( SEARCH("g",H23:H25)), LEFT(H23:H25, LEN(H23:H25)-1)*1, ""))&amp;"g"</f>
        <v>30g</v>
      </c>
      <c r="I22" s="13" t="str" cm="1">
        <f t="array" ref="I22">SUM(IF(ISNUMBER( SEARCH("g",I23:I25)), LEFT(I23:I25, LEN(I23:I25)-1)*1, ""))&amp;"g"</f>
        <v>4g</v>
      </c>
      <c r="J22" s="13" t="str" cm="1">
        <f t="array" ref="J22">SUM(IF(ISNUMBER( SEARCH("g",J23:J25)), LEFT(J23:J25, LEN(J23:J25)-1)*1, ""))&amp;"g"</f>
        <v>2g</v>
      </c>
      <c r="K22" s="13" t="str" cm="1">
        <f t="array" ref="K22">SUM(IF(ISNUMBER( SEARCH("g",K23:K25)), LEFT(K23:K25, LEN(K23:K25)-1)*1, ""))&amp;"g"</f>
        <v>2g</v>
      </c>
      <c r="L22" s="13" t="str" cm="1">
        <f t="array" ref="L22">SUM(IF(ISNUMBER( SEARCH("g",L23:L25)), LEFT(L23:L25, LEN(L23:L25)-1)*1, ""))&amp;"g"</f>
        <v>14g</v>
      </c>
    </row>
    <row r="23" spans="1:12" hidden="1" outlineLevel="1">
      <c r="A23" s="2"/>
      <c r="B23" s="7" t="s">
        <v>428</v>
      </c>
      <c r="C23" s="2">
        <v>160</v>
      </c>
      <c r="D23" s="6" t="s">
        <v>6</v>
      </c>
      <c r="E23" s="6" t="s">
        <v>66</v>
      </c>
      <c r="F23" s="6" t="s">
        <v>23</v>
      </c>
      <c r="G23" s="6" t="s">
        <v>357</v>
      </c>
      <c r="H23" s="6" t="s">
        <v>277</v>
      </c>
      <c r="I23" s="6" t="s">
        <v>37</v>
      </c>
      <c r="J23" s="6" t="s">
        <v>6</v>
      </c>
      <c r="K23" s="6" t="s">
        <v>6</v>
      </c>
      <c r="L23" s="6" t="s">
        <v>63</v>
      </c>
    </row>
    <row r="24" spans="1:12" hidden="1" outlineLevel="1">
      <c r="A24" s="2"/>
      <c r="B24" s="7" t="s">
        <v>446</v>
      </c>
      <c r="C24" s="6">
        <v>70</v>
      </c>
      <c r="D24" s="6" t="s">
        <v>39</v>
      </c>
      <c r="E24" s="6" t="s">
        <v>30</v>
      </c>
      <c r="F24" s="6" t="s">
        <v>296</v>
      </c>
      <c r="G24" s="6" t="s">
        <v>31</v>
      </c>
      <c r="H24" s="6" t="s">
        <v>66</v>
      </c>
      <c r="I24" s="6" t="s">
        <v>66</v>
      </c>
      <c r="J24" s="6" t="s">
        <v>66</v>
      </c>
      <c r="K24" s="6" t="s">
        <v>66</v>
      </c>
      <c r="L24" s="6" t="s">
        <v>56</v>
      </c>
    </row>
    <row r="25" spans="1:12" hidden="1" outlineLevel="1">
      <c r="B25" s="7" t="s">
        <v>435</v>
      </c>
      <c r="C25" s="6">
        <v>180</v>
      </c>
      <c r="D25" s="6" t="s">
        <v>53</v>
      </c>
      <c r="E25" s="6" t="s">
        <v>22</v>
      </c>
      <c r="F25" s="6" t="s">
        <v>72</v>
      </c>
      <c r="G25" s="6" t="s">
        <v>436</v>
      </c>
      <c r="H25" s="6" t="s">
        <v>66</v>
      </c>
      <c r="I25" s="6" t="s">
        <v>66</v>
      </c>
      <c r="J25" s="6" t="s">
        <v>66</v>
      </c>
      <c r="K25" s="6" t="s">
        <v>66</v>
      </c>
      <c r="L25" s="6" t="s">
        <v>66</v>
      </c>
    </row>
    <row r="26" spans="1:12" collapsed="1">
      <c r="A26" s="12" t="s">
        <v>447</v>
      </c>
      <c r="B26" s="14" t="s">
        <v>423</v>
      </c>
      <c r="C26" s="13">
        <f>SUM(C27:C29)</f>
        <v>730</v>
      </c>
      <c r="D26" s="13" t="str" cm="1">
        <f t="array" ref="D26">SUM(IF(ISNUMBER( SEARCH("g",D27:D29)), LEFT(D27:D29, LEN(D27:D29)-1)*1, ""))&amp;"g"</f>
        <v>44g</v>
      </c>
      <c r="E26" s="13" t="str" cm="1">
        <f t="array" ref="E26">SUM(IF(ISNUMBER( SEARCH("g",E27:E29)), LEFT(E27:E29, LEN(E27:E29)-1)*1, ""))&amp;"g"</f>
        <v>7.5g</v>
      </c>
      <c r="F26" s="13" t="str" cm="1">
        <f t="array" ref="F26">SUM(IF(ISNUMBER( SEARCH("mg",F27:F29)), LEFT(F27:F29, LEN(F27:F29)-2)*1, ""))&amp;"mg"</f>
        <v>385mg</v>
      </c>
      <c r="G26" s="13" t="str" cm="1">
        <f t="array" ref="G26">SUM(IF(ISNUMBER( SEARCH("mg",G27:G29)), LEFT(G27:G29, LEN(G27:G29)-2)*1, ""))&amp;"mg"</f>
        <v>1025mg</v>
      </c>
      <c r="H26" s="13" t="str" cm="1">
        <f t="array" ref="H26">SUM(IF(ISNUMBER( SEARCH("g",H27:H29)), LEFT(H27:H29, LEN(H27:H29)-1)*1, ""))&amp;"g"</f>
        <v>60g</v>
      </c>
      <c r="I26" s="13" t="str" cm="1">
        <f t="array" ref="I26">SUM(IF(ISNUMBER( SEARCH("g",I27:I29)), LEFT(I27:I29, LEN(I27:I29)-1)*1, ""))&amp;"g"</f>
        <v>8g</v>
      </c>
      <c r="J26" s="13" t="str" cm="1">
        <f t="array" ref="J26">SUM(IF(ISNUMBER( SEARCH("g",J27:J29)), LEFT(J27:J29, LEN(J27:J29)-1)*1, ""))&amp;"g"</f>
        <v>4g</v>
      </c>
      <c r="K26" s="13" t="str" cm="1">
        <f t="array" ref="K26">SUM(IF(ISNUMBER( SEARCH("g",K27:K29)), LEFT(K27:K29, LEN(K27:K29)-1)*1, ""))&amp;"g"</f>
        <v>4g</v>
      </c>
      <c r="L26" s="13" t="str" cm="1">
        <f t="array" ref="L26">SUM(IF(ISNUMBER( SEARCH("g",L27:L29)), LEFT(L27:L29, LEN(L27:L29)-1)*1, ""))&amp;"g"</f>
        <v>28g</v>
      </c>
    </row>
    <row r="27" spans="1:12" hidden="1" outlineLevel="1">
      <c r="A27" s="2"/>
      <c r="B27" s="7" t="s">
        <v>443</v>
      </c>
      <c r="C27" s="2">
        <v>320</v>
      </c>
      <c r="D27" s="6" t="s">
        <v>37</v>
      </c>
      <c r="E27" s="6" t="s">
        <v>66</v>
      </c>
      <c r="F27" s="6" t="s">
        <v>23</v>
      </c>
      <c r="G27" s="6" t="s">
        <v>181</v>
      </c>
      <c r="H27" s="6" t="s">
        <v>168</v>
      </c>
      <c r="I27" s="6" t="s">
        <v>63</v>
      </c>
      <c r="J27" s="6" t="s">
        <v>37</v>
      </c>
      <c r="K27" s="6" t="s">
        <v>37</v>
      </c>
      <c r="L27" s="6" t="s">
        <v>65</v>
      </c>
    </row>
    <row r="28" spans="1:12" hidden="1" outlineLevel="1">
      <c r="A28" s="2"/>
      <c r="B28" s="7" t="s">
        <v>448</v>
      </c>
      <c r="C28" s="6">
        <v>140</v>
      </c>
      <c r="D28" s="6" t="s">
        <v>122</v>
      </c>
      <c r="E28" s="6" t="s">
        <v>22</v>
      </c>
      <c r="F28" s="6" t="s">
        <v>449</v>
      </c>
      <c r="G28" s="6" t="s">
        <v>359</v>
      </c>
      <c r="H28" s="6" t="s">
        <v>66</v>
      </c>
      <c r="I28" s="6" t="s">
        <v>66</v>
      </c>
      <c r="J28" s="6" t="s">
        <v>66</v>
      </c>
      <c r="K28" s="6" t="s">
        <v>66</v>
      </c>
      <c r="L28" s="6" t="s">
        <v>87</v>
      </c>
    </row>
    <row r="29" spans="1:12" hidden="1" outlineLevel="1">
      <c r="B29" s="7" t="s">
        <v>450</v>
      </c>
      <c r="C29" s="6">
        <v>270</v>
      </c>
      <c r="D29" s="6" t="s">
        <v>277</v>
      </c>
      <c r="E29" s="6" t="s">
        <v>48</v>
      </c>
      <c r="F29" s="6" t="s">
        <v>86</v>
      </c>
      <c r="G29" s="6" t="s">
        <v>451</v>
      </c>
      <c r="H29" s="6" t="s">
        <v>66</v>
      </c>
      <c r="I29" s="6" t="s">
        <v>66</v>
      </c>
      <c r="J29" s="6" t="s">
        <v>66</v>
      </c>
      <c r="K29" s="6" t="s">
        <v>66</v>
      </c>
      <c r="L29" s="6" t="s">
        <v>66</v>
      </c>
    </row>
    <row r="30" spans="1:12" collapsed="1">
      <c r="A30" s="10" t="s">
        <v>452</v>
      </c>
      <c r="B30" s="11" t="s">
        <v>1</v>
      </c>
      <c r="C30" s="8" t="s">
        <v>4</v>
      </c>
      <c r="D30" s="8" t="s">
        <v>5</v>
      </c>
      <c r="E30" s="8" t="s">
        <v>147</v>
      </c>
      <c r="F30" s="8" t="s">
        <v>9</v>
      </c>
      <c r="G30" s="8" t="s">
        <v>49</v>
      </c>
      <c r="H30" s="8" t="s">
        <v>25</v>
      </c>
      <c r="I30" s="8" t="s">
        <v>15</v>
      </c>
      <c r="J30" s="8" t="s">
        <v>17</v>
      </c>
      <c r="K30" s="8" t="s">
        <v>27</v>
      </c>
      <c r="L30" s="8" t="s">
        <v>19</v>
      </c>
    </row>
    <row r="31" spans="1:12">
      <c r="A31" s="12" t="s">
        <v>453</v>
      </c>
      <c r="B31" s="14" t="s">
        <v>423</v>
      </c>
      <c r="C31" s="13">
        <f>SUM(C32:C33)</f>
        <v>360</v>
      </c>
      <c r="D31" s="13" t="str" cm="1">
        <f t="array" ref="D31">SUM(IF(ISNUMBER( SEARCH("g",D32:D33)), LEFT(D32:D33, LEN(D32:D33)-1)*1, ""))&amp;"g"</f>
        <v>11g</v>
      </c>
      <c r="E31" s="13" t="str" cm="1">
        <f t="array" ref="E31">SUM(IF(ISNUMBER( SEARCH("g",E32:E33)), LEFT(E32:E33, LEN(E32:E33)-1)*1, ""))&amp;"g"</f>
        <v>6.5g</v>
      </c>
      <c r="F31" s="13" t="str" cm="1">
        <f t="array" ref="F31">SUM(IF(ISNUMBER( SEARCH("mg",F32:F33)), LEFT(F32:F33, LEN(F32:F33)-2)*1, ""))&amp;"mg"</f>
        <v>125mg</v>
      </c>
      <c r="G31" s="13" t="str" cm="1">
        <f t="array" ref="G31">SUM(IF(ISNUMBER( SEARCH("mg",G32:G33)), LEFT(G32:G33, LEN(G32:G33)-2)*1, ""))&amp;"mg"</f>
        <v>250mg</v>
      </c>
      <c r="H31" s="13" t="str" cm="1">
        <f t="array" ref="H31">SUM(IF(ISNUMBER( SEARCH("g",H32:H33)), LEFT(H32:H33, LEN(H32:H33)-1)*1, ""))&amp;"g"</f>
        <v>21g</v>
      </c>
      <c r="I31" s="13" t="str" cm="1">
        <f t="array" ref="I31">SUM(IF(ISNUMBER( SEARCH("g",I32:I33)), LEFT(I32:I33, LEN(I32:I33)-1)*1, ""))&amp;"g"</f>
        <v>0g</v>
      </c>
      <c r="J31" s="13" t="str" cm="1">
        <f t="array" ref="J31">SUM(IF(ISNUMBER( SEARCH("g",J32:J33)), LEFT(J32:J33, LEN(J32:J33)-1)*1, ""))&amp;"g"</f>
        <v>15g</v>
      </c>
      <c r="K31" s="13" t="str" cm="1">
        <f t="array" ref="K31">SUM(IF(ISNUMBER( SEARCH("g",K32:K33)), LEFT(K32:K33, LEN(K32:K33)-1)*1, ""))&amp;"g"</f>
        <v>0g</v>
      </c>
      <c r="L31" s="13" t="str" cm="1">
        <f t="array" ref="L31">SUM(IF(ISNUMBER( SEARCH("g",L32:L33)), LEFT(L32:L33, LEN(L32:L33)-1)*1, ""))&amp;"g"</f>
        <v>29g</v>
      </c>
    </row>
    <row r="32" spans="1:12" hidden="1" outlineLevel="1">
      <c r="A32" s="2"/>
      <c r="B32" s="7" t="s">
        <v>454</v>
      </c>
      <c r="C32" s="6">
        <v>200</v>
      </c>
      <c r="D32" s="6" t="s">
        <v>22</v>
      </c>
      <c r="E32" s="6" t="s">
        <v>30</v>
      </c>
      <c r="F32" s="6" t="s">
        <v>110</v>
      </c>
      <c r="G32" s="6" t="s">
        <v>101</v>
      </c>
      <c r="H32" s="6" t="s">
        <v>63</v>
      </c>
      <c r="I32" s="6" t="s">
        <v>66</v>
      </c>
      <c r="J32" s="6" t="s">
        <v>22</v>
      </c>
      <c r="K32" s="6" t="s">
        <v>66</v>
      </c>
      <c r="L32" s="6" t="s">
        <v>53</v>
      </c>
    </row>
    <row r="33" spans="2:13" hidden="1" outlineLevel="1">
      <c r="B33" s="7" t="s">
        <v>455</v>
      </c>
      <c r="C33" s="6">
        <v>160</v>
      </c>
      <c r="D33" s="6" t="s">
        <v>63</v>
      </c>
      <c r="E33" s="6" t="s">
        <v>39</v>
      </c>
      <c r="F33" s="6" t="s">
        <v>194</v>
      </c>
      <c r="G33" s="6" t="s">
        <v>157</v>
      </c>
      <c r="H33" s="6" t="s">
        <v>35</v>
      </c>
      <c r="I33" s="6" t="s">
        <v>66</v>
      </c>
      <c r="J33" s="6" t="s">
        <v>87</v>
      </c>
      <c r="K33" s="6" t="s">
        <v>66</v>
      </c>
      <c r="L33" s="6" t="s">
        <v>44</v>
      </c>
    </row>
    <row r="34" spans="2:13" collapsed="1"/>
    <row r="40" spans="2:13" ht="13.5" customHeight="1"/>
    <row r="42" spans="2:13" collapsed="1"/>
    <row r="46" spans="2:13">
      <c r="M46" s="3"/>
    </row>
    <row r="47" spans="2:13">
      <c r="M47" s="3"/>
    </row>
    <row r="50" spans="2:2">
      <c r="B50" s="7" t="s">
        <v>299</v>
      </c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35202-0308-4BFE-AE9A-85C4732B111F}">
  <dimension ref="A1:B124"/>
  <sheetViews>
    <sheetView zoomScale="115" zoomScaleNormal="115" workbookViewId="0">
      <selection activeCell="B50" sqref="B50"/>
    </sheetView>
  </sheetViews>
  <sheetFormatPr defaultRowHeight="15" outlineLevelRow="1"/>
  <cols>
    <col min="1" max="1" width="30.28515625" customWidth="1"/>
    <col min="2" max="2" width="44.85546875" bestFit="1" customWidth="1"/>
  </cols>
  <sheetData>
    <row r="1" spans="1:2">
      <c r="A1" s="1" t="s">
        <v>456</v>
      </c>
    </row>
    <row r="2" spans="1:2">
      <c r="A2" s="18" t="s">
        <v>217</v>
      </c>
    </row>
    <row r="3" spans="1:2" outlineLevel="1">
      <c r="A3" t="s">
        <v>1</v>
      </c>
      <c r="B3" s="3" t="s">
        <v>218</v>
      </c>
    </row>
    <row r="4" spans="1:2" outlineLevel="1">
      <c r="A4" t="s">
        <v>4</v>
      </c>
      <c r="B4">
        <v>100</v>
      </c>
    </row>
    <row r="5" spans="1:2" outlineLevel="1">
      <c r="A5" t="s">
        <v>5</v>
      </c>
      <c r="B5" s="3" t="s">
        <v>63</v>
      </c>
    </row>
    <row r="6" spans="1:2" outlineLevel="1">
      <c r="A6" t="s">
        <v>147</v>
      </c>
      <c r="B6" s="3" t="s">
        <v>75</v>
      </c>
    </row>
    <row r="7" spans="1:2" outlineLevel="1">
      <c r="A7" t="s">
        <v>9</v>
      </c>
      <c r="B7" s="3" t="s">
        <v>219</v>
      </c>
    </row>
    <row r="8" spans="1:2" outlineLevel="1">
      <c r="A8" t="s">
        <v>49</v>
      </c>
      <c r="B8" s="3" t="s">
        <v>198</v>
      </c>
    </row>
    <row r="9" spans="1:2" outlineLevel="1">
      <c r="A9" t="s">
        <v>25</v>
      </c>
      <c r="B9" s="3" t="s">
        <v>66</v>
      </c>
    </row>
    <row r="10" spans="1:2" outlineLevel="1">
      <c r="A10" t="s">
        <v>52</v>
      </c>
      <c r="B10" s="3" t="s">
        <v>66</v>
      </c>
    </row>
    <row r="11" spans="1:2" outlineLevel="1">
      <c r="A11" t="s">
        <v>27</v>
      </c>
      <c r="B11" s="3" t="s">
        <v>66</v>
      </c>
    </row>
    <row r="12" spans="1:2" outlineLevel="1">
      <c r="A12" t="s">
        <v>15</v>
      </c>
      <c r="B12" s="3" t="s">
        <v>66</v>
      </c>
    </row>
    <row r="13" spans="1:2" outlineLevel="1">
      <c r="A13" t="s">
        <v>19</v>
      </c>
      <c r="B13" s="3" t="s">
        <v>56</v>
      </c>
    </row>
    <row r="14" spans="1:2">
      <c r="A14" s="18" t="s">
        <v>293</v>
      </c>
    </row>
    <row r="15" spans="1:2" outlineLevel="1">
      <c r="A15" t="s">
        <v>4</v>
      </c>
      <c r="B15" s="3">
        <f>(Dairy!B3*2)</f>
        <v>140</v>
      </c>
    </row>
    <row r="16" spans="1:2" outlineLevel="1">
      <c r="A16" t="s">
        <v>5</v>
      </c>
      <c r="B16" s="3" t="str">
        <f>SUM(IF(ISNUMBER( SEARCH("g",Dairy!B4)), LEFT(Dairy!B4, LEN(Dairy!B4)-1)*1, "")+(SUM(IF(ISNUMBER( SEARCH("g",Dairy!B4)), LEFT(Dairy!B4, LEN(Dairy!B4)-1)*1, ""))))&amp;"g"</f>
        <v>10g</v>
      </c>
    </row>
    <row r="17" spans="1:2" outlineLevel="1">
      <c r="A17" t="s">
        <v>7</v>
      </c>
      <c r="B17" s="3" t="str">
        <f>SUM(IF(ISNUMBER( SEARCH("g",Dairy!B5)), LEFT(Dairy!B5, LEN(Dairy!B5)-1)*1, "")+(SUM(IF(ISNUMBER( SEARCH("g",Dairy!B5)), LEFT(Dairy!B5, LEN(Dairy!B5)-1)*1, ""))))&amp;"g"</f>
        <v>3g</v>
      </c>
    </row>
    <row r="18" spans="1:2" outlineLevel="1">
      <c r="A18" t="s">
        <v>9</v>
      </c>
      <c r="B18" s="3" t="str">
        <f>SUM(IF(ISNUMBER( SEARCH("mg",Dairy!B6)), LEFT(Dairy!B6, LEN(Dairy!B6)-2)*1, "")+(SUM(IF(ISNUMBER( SEARCH("mg",Dairy!B6)), LEFT(Dairy!B6, LEN(Dairy!B6)-2)*1, ""))))&amp;"mg"</f>
        <v>370mg</v>
      </c>
    </row>
    <row r="19" spans="1:2" outlineLevel="1">
      <c r="A19" t="s">
        <v>49</v>
      </c>
      <c r="B19" s="3" t="str">
        <f>SUM(IF(ISNUMBER( SEARCH("mg",Dairy!B7)), LEFT(Dairy!B7, LEN(Dairy!B7)-2)*1, "")+(SUM(IF(ISNUMBER( SEARCH("mg",Dairy!B7)), LEFT(Dairy!B7, LEN(Dairy!B7)-2)*1, ""))))&amp;"mg"</f>
        <v>140mg</v>
      </c>
    </row>
    <row r="20" spans="1:2" outlineLevel="1">
      <c r="A20" t="s">
        <v>297</v>
      </c>
      <c r="B20" s="3" t="str">
        <f>SUM(IF(ISNUMBER( SEARCH("g",Dairy!B8)), LEFT(Dairy!B8, LEN(Dairy!B8)-1)*1, "")+(SUM(IF(ISNUMBER( SEARCH("g",Dairy!B8)), LEFT(Dairy!B8, LEN(Dairy!B8)-1)*1, ""))))&amp;"g"</f>
        <v>0g</v>
      </c>
    </row>
    <row r="21" spans="1:2" outlineLevel="1">
      <c r="A21" t="s">
        <v>15</v>
      </c>
      <c r="B21" s="3" t="str">
        <f>SUM(IF(ISNUMBER( SEARCH("g",Dairy!B9)), LEFT(Dairy!B9, LEN(Dairy!B9)-1)*1, "")+(SUM(IF(ISNUMBER( SEARCH("g",Dairy!B9)), LEFT(Dairy!B9, LEN(Dairy!B9)-1)*1, ""))))&amp;"g"</f>
        <v>0g</v>
      </c>
    </row>
    <row r="22" spans="1:2" outlineLevel="1">
      <c r="A22" t="s">
        <v>17</v>
      </c>
      <c r="B22" s="3" t="str">
        <f>SUM(IF(ISNUMBER( SEARCH("g",Dairy!B10)), LEFT(Dairy!B10, LEN(Dairy!B10)-1)*1, "")+(SUM(IF(ISNUMBER( SEARCH("g",Dairy!B10)), LEFT(Dairy!B10, LEN(Dairy!B10)-1)*1, ""))))&amp;"g"</f>
        <v>0g</v>
      </c>
    </row>
    <row r="23" spans="1:2" outlineLevel="1">
      <c r="A23" t="s">
        <v>27</v>
      </c>
      <c r="B23" s="3" t="str">
        <f>SUM(IF(ISNUMBER( SEARCH("g",Dairy!B11)), LEFT(Dairy!B11, LEN(Dairy!B11)-1)*1, "")+(SUM(IF(ISNUMBER( SEARCH("g",Dairy!B11)), LEFT(Dairy!B11, LEN(Dairy!B11)-1)*1, ""))))&amp;"g"</f>
        <v>0g</v>
      </c>
    </row>
    <row r="24" spans="1:2" outlineLevel="1">
      <c r="A24" t="s">
        <v>19</v>
      </c>
      <c r="B24" s="3" t="str">
        <f>SUM(IF(ISNUMBER( SEARCH("g",Dairy!B12)), LEFT(Dairy!B12, LEN(Dairy!B12)-1)*1, "")+(SUM(IF(ISNUMBER( SEARCH("g",Dairy!B12)), LEFT(Dairy!B12, LEN(Dairy!B12)-1)*1, ""))))&amp;"g"</f>
        <v>12g</v>
      </c>
    </row>
    <row r="25" spans="1:2">
      <c r="A25" s="18" t="s">
        <v>457</v>
      </c>
    </row>
    <row r="26" spans="1:2" outlineLevel="1">
      <c r="A26" t="s">
        <v>4</v>
      </c>
      <c r="B26" s="3">
        <v>160</v>
      </c>
    </row>
    <row r="27" spans="1:2" outlineLevel="1">
      <c r="A27" t="s">
        <v>5</v>
      </c>
      <c r="B27" s="3" t="s">
        <v>6</v>
      </c>
    </row>
    <row r="28" spans="1:2" outlineLevel="1">
      <c r="A28" t="s">
        <v>7</v>
      </c>
      <c r="B28" s="3" t="s">
        <v>66</v>
      </c>
    </row>
    <row r="29" spans="1:2" outlineLevel="1">
      <c r="A29" t="s">
        <v>9</v>
      </c>
      <c r="B29" s="3" t="s">
        <v>23</v>
      </c>
    </row>
    <row r="30" spans="1:2" outlineLevel="1">
      <c r="A30" t="s">
        <v>49</v>
      </c>
      <c r="B30" s="3" t="s">
        <v>458</v>
      </c>
    </row>
    <row r="31" spans="1:2" outlineLevel="1">
      <c r="A31" t="s">
        <v>297</v>
      </c>
      <c r="B31" s="3" t="s">
        <v>277</v>
      </c>
    </row>
    <row r="32" spans="1:2" outlineLevel="1">
      <c r="A32" t="s">
        <v>15</v>
      </c>
      <c r="B32" s="3" t="s">
        <v>6</v>
      </c>
    </row>
    <row r="33" spans="1:2" outlineLevel="1">
      <c r="A33" t="s">
        <v>17</v>
      </c>
      <c r="B33" s="3" t="s">
        <v>37</v>
      </c>
    </row>
    <row r="34" spans="1:2" outlineLevel="1">
      <c r="A34" t="s">
        <v>27</v>
      </c>
      <c r="B34" s="3" t="s">
        <v>66</v>
      </c>
    </row>
    <row r="35" spans="1:2" outlineLevel="1">
      <c r="A35" t="s">
        <v>19</v>
      </c>
      <c r="B35" s="3" t="s">
        <v>37</v>
      </c>
    </row>
    <row r="36" spans="1:2">
      <c r="A36" s="18" t="s">
        <v>459</v>
      </c>
    </row>
    <row r="37" spans="1:2" outlineLevel="1">
      <c r="A37" t="s">
        <v>1</v>
      </c>
      <c r="B37" s="3" t="s">
        <v>162</v>
      </c>
    </row>
    <row r="38" spans="1:2" outlineLevel="1">
      <c r="A38" t="s">
        <v>4</v>
      </c>
      <c r="B38" s="3">
        <v>300</v>
      </c>
    </row>
    <row r="39" spans="1:2" outlineLevel="1">
      <c r="A39" t="s">
        <v>5</v>
      </c>
      <c r="B39" s="3" t="s">
        <v>56</v>
      </c>
    </row>
    <row r="40" spans="1:2" outlineLevel="1">
      <c r="A40" t="s">
        <v>7</v>
      </c>
      <c r="B40" s="3" t="s">
        <v>14</v>
      </c>
    </row>
    <row r="41" spans="1:2" outlineLevel="1">
      <c r="A41" t="s">
        <v>9</v>
      </c>
      <c r="B41" s="3" t="s">
        <v>23</v>
      </c>
    </row>
    <row r="42" spans="1:2" outlineLevel="1">
      <c r="A42" t="s">
        <v>11</v>
      </c>
      <c r="B42" s="3" t="s">
        <v>23</v>
      </c>
    </row>
    <row r="43" spans="1:2" outlineLevel="1">
      <c r="A43" t="s">
        <v>13</v>
      </c>
      <c r="B43" s="3" t="s">
        <v>460</v>
      </c>
    </row>
    <row r="44" spans="1:2" outlineLevel="1">
      <c r="A44" t="s">
        <v>15</v>
      </c>
      <c r="B44" s="3" t="s">
        <v>63</v>
      </c>
    </row>
    <row r="45" spans="1:2" outlineLevel="1">
      <c r="A45" t="s">
        <v>17</v>
      </c>
      <c r="B45" s="3" t="s">
        <v>37</v>
      </c>
    </row>
    <row r="46" spans="1:2" outlineLevel="1">
      <c r="A46" t="s">
        <v>27</v>
      </c>
      <c r="B46" s="3" t="s">
        <v>66</v>
      </c>
    </row>
    <row r="47" spans="1:2" outlineLevel="1">
      <c r="A47" t="s">
        <v>19</v>
      </c>
      <c r="B47" s="3" t="s">
        <v>122</v>
      </c>
    </row>
    <row r="49" spans="1:1">
      <c r="A49" s="1" t="s">
        <v>423</v>
      </c>
    </row>
    <row r="50" spans="1:1">
      <c r="A50" t="s">
        <v>4</v>
      </c>
    </row>
    <row r="51" spans="1:1">
      <c r="A51" t="s">
        <v>5</v>
      </c>
    </row>
    <row r="52" spans="1:1">
      <c r="A52" t="s">
        <v>147</v>
      </c>
    </row>
    <row r="53" spans="1:1">
      <c r="A53" t="s">
        <v>9</v>
      </c>
    </row>
    <row r="54" spans="1:1">
      <c r="A54" t="s">
        <v>49</v>
      </c>
    </row>
    <row r="55" spans="1:1">
      <c r="A55" t="s">
        <v>25</v>
      </c>
    </row>
    <row r="56" spans="1:1">
      <c r="A56" t="s">
        <v>52</v>
      </c>
    </row>
    <row r="57" spans="1:1">
      <c r="A57" t="s">
        <v>27</v>
      </c>
    </row>
    <row r="58" spans="1:1">
      <c r="A58" t="s">
        <v>15</v>
      </c>
    </row>
    <row r="59" spans="1:1">
      <c r="A59" t="s">
        <v>19</v>
      </c>
    </row>
    <row r="63" spans="1:1">
      <c r="A63" s="1" t="s">
        <v>461</v>
      </c>
    </row>
    <row r="64" spans="1:1">
      <c r="A64" s="18" t="s">
        <v>128</v>
      </c>
    </row>
    <row r="65" spans="1:2">
      <c r="A65" t="s">
        <v>1</v>
      </c>
      <c r="B65" s="3" t="s">
        <v>129</v>
      </c>
    </row>
    <row r="66" spans="1:2">
      <c r="A66" t="s">
        <v>4</v>
      </c>
      <c r="B66" s="3">
        <v>5</v>
      </c>
    </row>
    <row r="67" spans="1:2">
      <c r="A67" t="s">
        <v>5</v>
      </c>
      <c r="B67" s="3" t="s">
        <v>66</v>
      </c>
    </row>
    <row r="68" spans="1:2">
      <c r="A68" t="s">
        <v>7</v>
      </c>
      <c r="B68" s="3" t="s">
        <v>66</v>
      </c>
    </row>
    <row r="69" spans="1:2">
      <c r="A69" t="s">
        <v>9</v>
      </c>
      <c r="B69" s="3" t="s">
        <v>23</v>
      </c>
    </row>
    <row r="70" spans="1:2">
      <c r="A70" t="s">
        <v>11</v>
      </c>
      <c r="B70" s="3" t="s">
        <v>131</v>
      </c>
    </row>
    <row r="71" spans="1:2">
      <c r="A71" t="s">
        <v>13</v>
      </c>
      <c r="B71" s="3" t="s">
        <v>14</v>
      </c>
    </row>
    <row r="72" spans="1:2">
      <c r="A72" t="s">
        <v>15</v>
      </c>
      <c r="B72" s="3" t="s">
        <v>14</v>
      </c>
    </row>
    <row r="73" spans="1:2">
      <c r="A73" t="s">
        <v>17</v>
      </c>
      <c r="B73" s="3" t="s">
        <v>14</v>
      </c>
    </row>
    <row r="74" spans="1:2">
      <c r="A74" t="s">
        <v>27</v>
      </c>
      <c r="B74" s="3" t="s">
        <v>66</v>
      </c>
    </row>
    <row r="75" spans="1:2">
      <c r="A75" t="s">
        <v>19</v>
      </c>
      <c r="B75" s="3" t="s">
        <v>66</v>
      </c>
    </row>
    <row r="76" spans="1:2">
      <c r="A76" s="18" t="s">
        <v>132</v>
      </c>
    </row>
    <row r="77" spans="1:2">
      <c r="A77" t="s">
        <v>1</v>
      </c>
      <c r="B77" s="3" t="s">
        <v>136</v>
      </c>
    </row>
    <row r="78" spans="1:2">
      <c r="A78" t="s">
        <v>4</v>
      </c>
      <c r="B78" s="3">
        <v>285</v>
      </c>
    </row>
    <row r="79" spans="1:2">
      <c r="A79" t="s">
        <v>5</v>
      </c>
      <c r="B79" s="3" t="s">
        <v>102</v>
      </c>
    </row>
    <row r="80" spans="1:2">
      <c r="A80" t="s">
        <v>7</v>
      </c>
      <c r="B80" s="3" t="s">
        <v>63</v>
      </c>
    </row>
    <row r="81" spans="1:2">
      <c r="A81" t="s">
        <v>9</v>
      </c>
      <c r="B81" s="3" t="s">
        <v>23</v>
      </c>
    </row>
    <row r="82" spans="1:2">
      <c r="A82" t="s">
        <v>11</v>
      </c>
      <c r="B82" s="3" t="s">
        <v>458</v>
      </c>
    </row>
    <row r="83" spans="1:2">
      <c r="A83" t="s">
        <v>13</v>
      </c>
      <c r="B83" s="3" t="s">
        <v>65</v>
      </c>
    </row>
    <row r="84" spans="1:2">
      <c r="A84" t="s">
        <v>15</v>
      </c>
      <c r="B84" s="3" t="s">
        <v>37</v>
      </c>
    </row>
    <row r="85" spans="1:2">
      <c r="A85" t="s">
        <v>17</v>
      </c>
      <c r="B85" s="3" t="s">
        <v>63</v>
      </c>
    </row>
    <row r="86" spans="1:2">
      <c r="A86" t="s">
        <v>27</v>
      </c>
      <c r="B86" s="3" t="s">
        <v>37</v>
      </c>
    </row>
    <row r="87" spans="1:2">
      <c r="A87" t="s">
        <v>19</v>
      </c>
      <c r="B87" s="3" t="s">
        <v>372</v>
      </c>
    </row>
    <row r="88" spans="1:2">
      <c r="A88" s="25" t="s">
        <v>28</v>
      </c>
      <c r="B88" s="20"/>
    </row>
    <row r="89" spans="1:2">
      <c r="A89" s="4" t="s">
        <v>1</v>
      </c>
      <c r="B89" s="3" t="s">
        <v>2</v>
      </c>
    </row>
    <row r="90" spans="1:2">
      <c r="A90" s="4" t="s">
        <v>4</v>
      </c>
      <c r="B90" s="3">
        <v>100</v>
      </c>
    </row>
    <row r="91" spans="1:2">
      <c r="A91" s="4" t="s">
        <v>5</v>
      </c>
      <c r="B91" s="3" t="s">
        <v>29</v>
      </c>
    </row>
    <row r="92" spans="1:2">
      <c r="A92" s="4" t="s">
        <v>7</v>
      </c>
      <c r="B92" s="3" t="s">
        <v>30</v>
      </c>
    </row>
    <row r="93" spans="1:2">
      <c r="A93" s="4" t="s">
        <v>9</v>
      </c>
      <c r="B93" s="3" t="s">
        <v>23</v>
      </c>
    </row>
    <row r="94" spans="1:2">
      <c r="A94" s="4" t="s">
        <v>11</v>
      </c>
      <c r="B94" s="3" t="s">
        <v>31</v>
      </c>
    </row>
    <row r="95" spans="1:2">
      <c r="A95" s="4" t="s">
        <v>13</v>
      </c>
      <c r="B95" s="3" t="s">
        <v>26</v>
      </c>
    </row>
    <row r="96" spans="1:2">
      <c r="A96" s="4" t="s">
        <v>15</v>
      </c>
      <c r="B96" s="3" t="s">
        <v>14</v>
      </c>
    </row>
    <row r="97" spans="1:2">
      <c r="A97" s="4" t="s">
        <v>17</v>
      </c>
      <c r="B97" s="3" t="s">
        <v>16</v>
      </c>
    </row>
    <row r="98" spans="1:2">
      <c r="A98" s="4" t="s">
        <v>18</v>
      </c>
      <c r="B98" s="3" t="s">
        <v>16</v>
      </c>
    </row>
    <row r="99" spans="1:2">
      <c r="A99" s="4" t="s">
        <v>19</v>
      </c>
      <c r="B99" s="3" t="s">
        <v>14</v>
      </c>
    </row>
    <row r="100" spans="1:2">
      <c r="A100" s="21" t="s">
        <v>462</v>
      </c>
    </row>
    <row r="101" spans="1:2">
      <c r="A101" t="s">
        <v>1</v>
      </c>
      <c r="B101" s="3" t="s">
        <v>463</v>
      </c>
    </row>
    <row r="102" spans="1:2">
      <c r="A102" s="24" t="s">
        <v>4</v>
      </c>
      <c r="B102" s="3">
        <v>40</v>
      </c>
    </row>
    <row r="103" spans="1:2">
      <c r="A103" t="s">
        <v>5</v>
      </c>
      <c r="B103" s="3" t="s">
        <v>66</v>
      </c>
    </row>
    <row r="104" spans="1:2">
      <c r="A104" t="s">
        <v>7</v>
      </c>
      <c r="B104" s="3" t="s">
        <v>66</v>
      </c>
    </row>
    <row r="105" spans="1:2">
      <c r="A105" t="s">
        <v>9</v>
      </c>
      <c r="B105" s="3" t="s">
        <v>23</v>
      </c>
    </row>
    <row r="106" spans="1:2">
      <c r="A106" t="s">
        <v>49</v>
      </c>
      <c r="B106" s="3" t="s">
        <v>10</v>
      </c>
    </row>
    <row r="107" spans="1:2">
      <c r="A107" t="s">
        <v>25</v>
      </c>
      <c r="B107" s="3" t="s">
        <v>96</v>
      </c>
    </row>
    <row r="108" spans="1:2">
      <c r="A108" t="s">
        <v>15</v>
      </c>
      <c r="B108" s="3" t="s">
        <v>66</v>
      </c>
    </row>
    <row r="109" spans="1:2">
      <c r="A109" t="s">
        <v>17</v>
      </c>
      <c r="B109" s="3" t="s">
        <v>464</v>
      </c>
    </row>
    <row r="110" spans="1:2">
      <c r="A110" t="s">
        <v>27</v>
      </c>
      <c r="B110" s="3" t="s">
        <v>464</v>
      </c>
    </row>
    <row r="111" spans="1:2">
      <c r="A111" t="s">
        <v>19</v>
      </c>
      <c r="B111" s="3" t="s">
        <v>66</v>
      </c>
    </row>
    <row r="113" spans="1:2">
      <c r="A113" s="1" t="s">
        <v>465</v>
      </c>
    </row>
    <row r="114" spans="1:2">
      <c r="A114" s="18" t="s">
        <v>447</v>
      </c>
    </row>
    <row r="115" spans="1:2">
      <c r="A115" s="24" t="s">
        <v>4</v>
      </c>
      <c r="B115" s="3">
        <v>730</v>
      </c>
    </row>
    <row r="116" spans="1:2">
      <c r="A116" t="s">
        <v>5</v>
      </c>
      <c r="B116" s="3" t="s">
        <v>41</v>
      </c>
    </row>
    <row r="117" spans="1:2">
      <c r="A117" t="s">
        <v>7</v>
      </c>
      <c r="B117" s="3" t="s">
        <v>466</v>
      </c>
    </row>
    <row r="118" spans="1:2">
      <c r="A118" t="s">
        <v>9</v>
      </c>
      <c r="B118" s="3" t="s">
        <v>467</v>
      </c>
    </row>
    <row r="119" spans="1:2">
      <c r="A119" t="s">
        <v>49</v>
      </c>
      <c r="B119" s="3" t="s">
        <v>468</v>
      </c>
    </row>
    <row r="120" spans="1:2">
      <c r="A120" t="s">
        <v>25</v>
      </c>
      <c r="B120" s="3" t="s">
        <v>168</v>
      </c>
    </row>
    <row r="121" spans="1:2">
      <c r="A121" t="s">
        <v>15</v>
      </c>
      <c r="B121" s="3" t="s">
        <v>63</v>
      </c>
    </row>
    <row r="122" spans="1:2">
      <c r="A122" t="s">
        <v>17</v>
      </c>
      <c r="B122" s="3" t="s">
        <v>37</v>
      </c>
    </row>
    <row r="123" spans="1:2">
      <c r="A123" t="s">
        <v>27</v>
      </c>
      <c r="B123" s="3" t="s">
        <v>37</v>
      </c>
    </row>
    <row r="124" spans="1:2">
      <c r="A124" t="s">
        <v>19</v>
      </c>
      <c r="B124" s="3" t="s">
        <v>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Richard Milnes</dc:creator>
  <cp:keywords/>
  <dc:description/>
  <cp:lastModifiedBy/>
  <cp:revision/>
  <dcterms:created xsi:type="dcterms:W3CDTF">2020-05-11T06:24:04Z</dcterms:created>
  <dcterms:modified xsi:type="dcterms:W3CDTF">2025-02-05T00:09:00Z</dcterms:modified>
  <cp:category/>
  <cp:contentStatus/>
</cp:coreProperties>
</file>